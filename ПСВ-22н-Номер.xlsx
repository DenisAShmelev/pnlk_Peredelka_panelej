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Проекты\116-24-2-КЖ\Переделка панелей 12 этажа\"/>
    </mc:Choice>
  </mc:AlternateContent>
  <xr:revisionPtr revIDLastSave="0" documentId="13_ncr:1_{4963A96D-80B9-451E-B38B-FE6BB4C2D30C}" xr6:coauthVersionLast="47" xr6:coauthVersionMax="47" xr10:uidLastSave="{00000000-0000-0000-0000-000000000000}"/>
  <bookViews>
    <workbookView xWindow="28680" yWindow="-120" windowWidth="29040" windowHeight="15990" xr2:uid="{D5199B54-DE53-405D-B5FF-4D1D8AB65289}"/>
  </bookViews>
  <sheets>
    <sheet name="Спецификация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" i="4" l="1"/>
  <c r="AD28" i="4"/>
  <c r="AC28" i="4"/>
  <c r="AB28" i="4"/>
  <c r="N28" i="4"/>
  <c r="M28" i="4"/>
  <c r="L28" i="4"/>
  <c r="K28" i="4"/>
  <c r="AR28" i="4" s="1"/>
  <c r="I28" i="4"/>
  <c r="AR27" i="4"/>
  <c r="AE27" i="4"/>
  <c r="AD27" i="4"/>
  <c r="AC27" i="4"/>
  <c r="AB27" i="4"/>
  <c r="AA27" i="4"/>
  <c r="N27" i="4"/>
  <c r="M27" i="4"/>
  <c r="L27" i="4"/>
  <c r="K27" i="4"/>
  <c r="AQ27" i="4" s="1"/>
  <c r="I27" i="4"/>
  <c r="AR26" i="4"/>
  <c r="AQ26" i="4"/>
  <c r="AE26" i="4"/>
  <c r="AD26" i="4"/>
  <c r="AC26" i="4"/>
  <c r="AB26" i="4"/>
  <c r="AA26" i="4"/>
  <c r="Z26" i="4"/>
  <c r="N26" i="4"/>
  <c r="M26" i="4"/>
  <c r="L26" i="4"/>
  <c r="K26" i="4"/>
  <c r="AP26" i="4" s="1"/>
  <c r="I26" i="4"/>
  <c r="AR25" i="4"/>
  <c r="AQ25" i="4"/>
  <c r="AP25" i="4"/>
  <c r="AE25" i="4"/>
  <c r="AD25" i="4"/>
  <c r="AC25" i="4"/>
  <c r="AB25" i="4"/>
  <c r="AA25" i="4"/>
  <c r="Z25" i="4"/>
  <c r="N25" i="4"/>
  <c r="M25" i="4"/>
  <c r="L25" i="4"/>
  <c r="K25" i="4"/>
  <c r="AO25" i="4" s="1"/>
  <c r="I25" i="4"/>
  <c r="N101" i="4"/>
  <c r="M101" i="4"/>
  <c r="L101" i="4"/>
  <c r="K101" i="4"/>
  <c r="AI101" i="4" s="1"/>
  <c r="I101" i="4"/>
  <c r="N100" i="4"/>
  <c r="M100" i="4"/>
  <c r="L100" i="4"/>
  <c r="K100" i="4"/>
  <c r="AI100" i="4" s="1"/>
  <c r="I100" i="4"/>
  <c r="N99" i="4"/>
  <c r="M99" i="4"/>
  <c r="L99" i="4"/>
  <c r="K99" i="4"/>
  <c r="AR99" i="4" s="1"/>
  <c r="I99" i="4"/>
  <c r="N98" i="4"/>
  <c r="M98" i="4"/>
  <c r="L98" i="4"/>
  <c r="K98" i="4"/>
  <c r="I98" i="4"/>
  <c r="N97" i="4"/>
  <c r="M97" i="4"/>
  <c r="L97" i="4"/>
  <c r="AE97" i="4" s="1"/>
  <c r="K97" i="4"/>
  <c r="I97" i="4"/>
  <c r="AO96" i="4"/>
  <c r="AN96" i="4"/>
  <c r="N96" i="4"/>
  <c r="M96" i="4"/>
  <c r="L96" i="4"/>
  <c r="K96" i="4"/>
  <c r="AC96" i="4" s="1"/>
  <c r="I96" i="4"/>
  <c r="AQ95" i="4"/>
  <c r="AP95" i="4"/>
  <c r="AO95" i="4"/>
  <c r="AN95" i="4"/>
  <c r="AM95" i="4"/>
  <c r="AE95" i="4"/>
  <c r="AB95" i="4"/>
  <c r="AA95" i="4"/>
  <c r="Z95" i="4"/>
  <c r="X95" i="4"/>
  <c r="N95" i="4"/>
  <c r="M95" i="4"/>
  <c r="L95" i="4"/>
  <c r="K95" i="4"/>
  <c r="AL95" i="4" s="1"/>
  <c r="I95" i="4"/>
  <c r="N94" i="4"/>
  <c r="M94" i="4"/>
  <c r="L94" i="4"/>
  <c r="K94" i="4"/>
  <c r="I94" i="4"/>
  <c r="AR93" i="4"/>
  <c r="AN93" i="4"/>
  <c r="AM93" i="4"/>
  <c r="N93" i="4"/>
  <c r="M93" i="4"/>
  <c r="L93" i="4"/>
  <c r="K93" i="4"/>
  <c r="I93" i="4"/>
  <c r="AR92" i="4"/>
  <c r="AM92" i="4"/>
  <c r="AL92" i="4"/>
  <c r="AK92" i="4"/>
  <c r="N92" i="4"/>
  <c r="M92" i="4"/>
  <c r="L92" i="4"/>
  <c r="K92" i="4"/>
  <c r="I92" i="4"/>
  <c r="AR91" i="4"/>
  <c r="AQ91" i="4"/>
  <c r="AP91" i="4"/>
  <c r="AO91" i="4"/>
  <c r="AL91" i="4"/>
  <c r="AK91" i="4"/>
  <c r="AJ91" i="4"/>
  <c r="AI91" i="4"/>
  <c r="AB91" i="4"/>
  <c r="AA91" i="4"/>
  <c r="Z91" i="4"/>
  <c r="X91" i="4"/>
  <c r="R91" i="4"/>
  <c r="N91" i="4"/>
  <c r="M91" i="4"/>
  <c r="T91" i="4" s="1"/>
  <c r="L91" i="4"/>
  <c r="K91" i="4"/>
  <c r="AG91" i="4" s="1"/>
  <c r="I91" i="4"/>
  <c r="AM90" i="4"/>
  <c r="AL90" i="4"/>
  <c r="AK90" i="4"/>
  <c r="N90" i="4"/>
  <c r="M90" i="4"/>
  <c r="L90" i="4"/>
  <c r="K90" i="4"/>
  <c r="I90" i="4"/>
  <c r="N89" i="4"/>
  <c r="M89" i="4"/>
  <c r="L89" i="4"/>
  <c r="K89" i="4"/>
  <c r="I89" i="4"/>
  <c r="AL88" i="4"/>
  <c r="AK88" i="4"/>
  <c r="N88" i="4"/>
  <c r="M88" i="4"/>
  <c r="L88" i="4"/>
  <c r="K88" i="4"/>
  <c r="AF88" i="4" s="1"/>
  <c r="I88" i="4"/>
  <c r="R87" i="4"/>
  <c r="N87" i="4"/>
  <c r="M87" i="4"/>
  <c r="L87" i="4"/>
  <c r="K87" i="4"/>
  <c r="I87" i="4"/>
  <c r="AL86" i="4"/>
  <c r="AK86" i="4"/>
  <c r="AJ86" i="4"/>
  <c r="AI86" i="4"/>
  <c r="AG86" i="4"/>
  <c r="AF86" i="4"/>
  <c r="AE86" i="4"/>
  <c r="AD86" i="4"/>
  <c r="AC86" i="4"/>
  <c r="R86" i="4"/>
  <c r="N86" i="4"/>
  <c r="M86" i="4"/>
  <c r="P86" i="4" s="1"/>
  <c r="L86" i="4"/>
  <c r="K86" i="4"/>
  <c r="I86" i="4"/>
  <c r="AK85" i="4"/>
  <c r="AJ85" i="4"/>
  <c r="AI85" i="4"/>
  <c r="AG85" i="4"/>
  <c r="N85" i="4"/>
  <c r="M85" i="4"/>
  <c r="L85" i="4"/>
  <c r="K85" i="4"/>
  <c r="I85" i="4"/>
  <c r="N84" i="4"/>
  <c r="M84" i="4"/>
  <c r="L84" i="4"/>
  <c r="AJ84" i="4" s="1"/>
  <c r="K84" i="4"/>
  <c r="I84" i="4"/>
  <c r="AR83" i="4"/>
  <c r="AQ83" i="4"/>
  <c r="AJ83" i="4"/>
  <c r="N83" i="4"/>
  <c r="M83" i="4"/>
  <c r="L83" i="4"/>
  <c r="K83" i="4"/>
  <c r="I83" i="4"/>
  <c r="N82" i="4"/>
  <c r="M82" i="4"/>
  <c r="L82" i="4"/>
  <c r="K82" i="4"/>
  <c r="I82" i="4"/>
  <c r="AP81" i="4"/>
  <c r="AE81" i="4"/>
  <c r="AD81" i="4"/>
  <c r="AC81" i="4"/>
  <c r="N81" i="4"/>
  <c r="M81" i="4"/>
  <c r="L81" i="4"/>
  <c r="K81" i="4"/>
  <c r="I81" i="4"/>
  <c r="N80" i="4"/>
  <c r="M80" i="4"/>
  <c r="L80" i="4"/>
  <c r="K80" i="4"/>
  <c r="I80" i="4"/>
  <c r="AO79" i="4"/>
  <c r="AN79" i="4"/>
  <c r="AM79" i="4"/>
  <c r="N79" i="4"/>
  <c r="M79" i="4"/>
  <c r="L79" i="4"/>
  <c r="K79" i="4"/>
  <c r="AQ79" i="4" s="1"/>
  <c r="I79" i="4"/>
  <c r="AQ78" i="4"/>
  <c r="AP78" i="4"/>
  <c r="AO78" i="4"/>
  <c r="AN78" i="4"/>
  <c r="AM78" i="4"/>
  <c r="AL78" i="4"/>
  <c r="AB78" i="4"/>
  <c r="N78" i="4"/>
  <c r="M78" i="4"/>
  <c r="L78" i="4"/>
  <c r="K78" i="4"/>
  <c r="I78" i="4"/>
  <c r="AR77" i="4"/>
  <c r="AQ77" i="4"/>
  <c r="AP77" i="4"/>
  <c r="AL77" i="4"/>
  <c r="AK77" i="4"/>
  <c r="AE77" i="4"/>
  <c r="AD77" i="4"/>
  <c r="Z77" i="4"/>
  <c r="X77" i="4"/>
  <c r="R77" i="4"/>
  <c r="T77" i="4" s="1"/>
  <c r="E77" i="4" s="1"/>
  <c r="P77" i="4"/>
  <c r="N77" i="4"/>
  <c r="M77" i="4"/>
  <c r="L77" i="4"/>
  <c r="K77" i="4"/>
  <c r="AJ77" i="4" s="1"/>
  <c r="I77" i="4"/>
  <c r="AR76" i="4"/>
  <c r="AQ76" i="4"/>
  <c r="AP76" i="4"/>
  <c r="AL76" i="4"/>
  <c r="AK76" i="4"/>
  <c r="AJ76" i="4"/>
  <c r="AE76" i="4"/>
  <c r="AD76" i="4"/>
  <c r="AC76" i="4"/>
  <c r="Z76" i="4"/>
  <c r="X76" i="4"/>
  <c r="R76" i="4"/>
  <c r="T76" i="4" s="1"/>
  <c r="P76" i="4"/>
  <c r="N76" i="4"/>
  <c r="M76" i="4"/>
  <c r="L76" i="4"/>
  <c r="K76" i="4"/>
  <c r="AI76" i="4" s="1"/>
  <c r="I76" i="4"/>
  <c r="AR75" i="4"/>
  <c r="AQ75" i="4"/>
  <c r="AP75" i="4"/>
  <c r="AO75" i="4"/>
  <c r="AN75" i="4"/>
  <c r="R75" i="4"/>
  <c r="N75" i="4"/>
  <c r="M75" i="4"/>
  <c r="T75" i="4" s="1"/>
  <c r="L75" i="4"/>
  <c r="K75" i="4"/>
  <c r="I75" i="4"/>
  <c r="AQ74" i="4"/>
  <c r="AP74" i="4"/>
  <c r="AM74" i="4"/>
  <c r="AL74" i="4"/>
  <c r="AK74" i="4"/>
  <c r="AG74" i="4"/>
  <c r="Z74" i="4"/>
  <c r="X74" i="4"/>
  <c r="R74" i="4"/>
  <c r="N74" i="4"/>
  <c r="M74" i="4"/>
  <c r="P74" i="4" s="1"/>
  <c r="L74" i="4"/>
  <c r="K74" i="4"/>
  <c r="AF74" i="4" s="1"/>
  <c r="I74" i="4"/>
  <c r="AL73" i="4"/>
  <c r="AK73" i="4"/>
  <c r="AJ73" i="4"/>
  <c r="AI73" i="4"/>
  <c r="N73" i="4"/>
  <c r="M73" i="4"/>
  <c r="L73" i="4"/>
  <c r="K73" i="4"/>
  <c r="I73" i="4"/>
  <c r="N72" i="4"/>
  <c r="M72" i="4"/>
  <c r="L72" i="4"/>
  <c r="K72" i="4"/>
  <c r="AI72" i="4" s="1"/>
  <c r="I72" i="4"/>
  <c r="N71" i="4"/>
  <c r="M71" i="4"/>
  <c r="L71" i="4"/>
  <c r="K71" i="4"/>
  <c r="I71" i="4"/>
  <c r="N70" i="4"/>
  <c r="M70" i="4"/>
  <c r="L70" i="4"/>
  <c r="K70" i="4"/>
  <c r="I70" i="4"/>
  <c r="AL69" i="4"/>
  <c r="AK69" i="4"/>
  <c r="AJ69" i="4"/>
  <c r="AI69" i="4"/>
  <c r="N69" i="4"/>
  <c r="M69" i="4"/>
  <c r="L69" i="4"/>
  <c r="K69" i="4"/>
  <c r="I69" i="4"/>
  <c r="AR68" i="4"/>
  <c r="AK68" i="4"/>
  <c r="AJ68" i="4"/>
  <c r="AI68" i="4"/>
  <c r="AD68" i="4"/>
  <c r="N68" i="4"/>
  <c r="M68" i="4"/>
  <c r="L68" i="4"/>
  <c r="K68" i="4"/>
  <c r="I68" i="4"/>
  <c r="AO66" i="4"/>
  <c r="AN66" i="4"/>
  <c r="AM66" i="4"/>
  <c r="AL66" i="4"/>
  <c r="AK66" i="4"/>
  <c r="AJ66" i="4"/>
  <c r="AC66" i="4"/>
  <c r="AB66" i="4"/>
  <c r="X66" i="4"/>
  <c r="R66" i="4"/>
  <c r="N66" i="4"/>
  <c r="M66" i="4"/>
  <c r="L66" i="4"/>
  <c r="K66" i="4"/>
  <c r="I66" i="4"/>
  <c r="R65" i="4"/>
  <c r="N65" i="4"/>
  <c r="M65" i="4"/>
  <c r="T65" i="4" s="1"/>
  <c r="L65" i="4"/>
  <c r="K65" i="4"/>
  <c r="AQ65" i="4" s="1"/>
  <c r="I65" i="4"/>
  <c r="AJ64" i="4"/>
  <c r="AI64" i="4"/>
  <c r="N64" i="4"/>
  <c r="M64" i="4"/>
  <c r="L64" i="4"/>
  <c r="K64" i="4"/>
  <c r="I64" i="4"/>
  <c r="N63" i="4"/>
  <c r="M63" i="4"/>
  <c r="L63" i="4"/>
  <c r="K63" i="4"/>
  <c r="AE63" i="4" s="1"/>
  <c r="I63" i="4"/>
  <c r="N62" i="4"/>
  <c r="M62" i="4"/>
  <c r="L62" i="4"/>
  <c r="K62" i="4"/>
  <c r="AF62" i="4" s="1"/>
  <c r="I62" i="4"/>
  <c r="N61" i="4"/>
  <c r="M61" i="4"/>
  <c r="L61" i="4"/>
  <c r="K61" i="4"/>
  <c r="I61" i="4"/>
  <c r="N60" i="4"/>
  <c r="M60" i="4"/>
  <c r="L60" i="4"/>
  <c r="K60" i="4"/>
  <c r="I60" i="4"/>
  <c r="AE59" i="4"/>
  <c r="AD59" i="4"/>
  <c r="AC59" i="4"/>
  <c r="AB59" i="4"/>
  <c r="AA59" i="4"/>
  <c r="R59" i="4"/>
  <c r="T59" i="4" s="1"/>
  <c r="U59" i="4" s="1"/>
  <c r="F59" i="4" s="1"/>
  <c r="N59" i="4"/>
  <c r="M59" i="4"/>
  <c r="L59" i="4"/>
  <c r="K59" i="4"/>
  <c r="I59" i="4"/>
  <c r="N58" i="4"/>
  <c r="M58" i="4"/>
  <c r="L58" i="4"/>
  <c r="K58" i="4"/>
  <c r="I58" i="4"/>
  <c r="N57" i="4"/>
  <c r="M57" i="4"/>
  <c r="L57" i="4"/>
  <c r="K57" i="4"/>
  <c r="I57" i="4"/>
  <c r="N44" i="4"/>
  <c r="M44" i="4"/>
  <c r="L44" i="4"/>
  <c r="K44" i="4"/>
  <c r="I44" i="4"/>
  <c r="N43" i="4"/>
  <c r="M43" i="4"/>
  <c r="L43" i="4"/>
  <c r="K43" i="4"/>
  <c r="I43" i="4"/>
  <c r="AR42" i="4"/>
  <c r="AQ42" i="4"/>
  <c r="AE42" i="4"/>
  <c r="AD42" i="4"/>
  <c r="AC42" i="4"/>
  <c r="AB42" i="4"/>
  <c r="AA42" i="4"/>
  <c r="Z42" i="4"/>
  <c r="N42" i="4"/>
  <c r="M42" i="4"/>
  <c r="L42" i="4"/>
  <c r="K42" i="4"/>
  <c r="AP42" i="4" s="1"/>
  <c r="I42" i="4"/>
  <c r="AR41" i="4"/>
  <c r="AQ41" i="4"/>
  <c r="AP41" i="4"/>
  <c r="AE41" i="4"/>
  <c r="N41" i="4"/>
  <c r="M41" i="4"/>
  <c r="L41" i="4"/>
  <c r="K41" i="4"/>
  <c r="I41" i="4"/>
  <c r="N40" i="4"/>
  <c r="M40" i="4"/>
  <c r="L40" i="4"/>
  <c r="K40" i="4"/>
  <c r="I40" i="4"/>
  <c r="N39" i="4"/>
  <c r="M39" i="4"/>
  <c r="L39" i="4"/>
  <c r="K39" i="4"/>
  <c r="I39" i="4"/>
  <c r="N38" i="4"/>
  <c r="M38" i="4"/>
  <c r="L38" i="4"/>
  <c r="K38" i="4"/>
  <c r="I38" i="4"/>
  <c r="AR37" i="4"/>
  <c r="AQ37" i="4"/>
  <c r="N37" i="4"/>
  <c r="M37" i="4"/>
  <c r="L37" i="4"/>
  <c r="K37" i="4"/>
  <c r="I37" i="4"/>
  <c r="AP36" i="4"/>
  <c r="AO36" i="4"/>
  <c r="AN36" i="4"/>
  <c r="N36" i="4"/>
  <c r="M36" i="4"/>
  <c r="L36" i="4"/>
  <c r="K36" i="4"/>
  <c r="I36" i="4"/>
  <c r="AR35" i="4"/>
  <c r="AQ35" i="4"/>
  <c r="AM35" i="4"/>
  <c r="AL35" i="4"/>
  <c r="AK35" i="4"/>
  <c r="AJ35" i="4"/>
  <c r="AE35" i="4"/>
  <c r="AC35" i="4"/>
  <c r="Z35" i="4"/>
  <c r="X35" i="4"/>
  <c r="R35" i="4"/>
  <c r="T35" i="4" s="1"/>
  <c r="P35" i="4"/>
  <c r="N35" i="4"/>
  <c r="M35" i="4"/>
  <c r="L35" i="4"/>
  <c r="K35" i="4"/>
  <c r="AI35" i="4" s="1"/>
  <c r="I35" i="4"/>
  <c r="AN55" i="4"/>
  <c r="AD55" i="4"/>
  <c r="N55" i="4"/>
  <c r="M55" i="4"/>
  <c r="L55" i="4"/>
  <c r="K55" i="4"/>
  <c r="I55" i="4"/>
  <c r="N54" i="4"/>
  <c r="M54" i="4"/>
  <c r="L54" i="4"/>
  <c r="K54" i="4"/>
  <c r="R54" i="4" s="1"/>
  <c r="I54" i="4"/>
  <c r="N53" i="4"/>
  <c r="M53" i="4"/>
  <c r="L53" i="4"/>
  <c r="AI53" i="4" s="1"/>
  <c r="K53" i="4"/>
  <c r="I53" i="4"/>
  <c r="N52" i="4"/>
  <c r="M52" i="4"/>
  <c r="L52" i="4"/>
  <c r="K52" i="4"/>
  <c r="AF52" i="4" s="1"/>
  <c r="I52" i="4"/>
  <c r="N51" i="4"/>
  <c r="M51" i="4"/>
  <c r="L51" i="4"/>
  <c r="K51" i="4"/>
  <c r="AG51" i="4" s="1"/>
  <c r="I51" i="4"/>
  <c r="N50" i="4"/>
  <c r="M50" i="4"/>
  <c r="L50" i="4"/>
  <c r="K50" i="4"/>
  <c r="I50" i="4"/>
  <c r="N49" i="4"/>
  <c r="M49" i="4"/>
  <c r="L49" i="4"/>
  <c r="K49" i="4"/>
  <c r="I49" i="4"/>
  <c r="N48" i="4"/>
  <c r="M48" i="4"/>
  <c r="L48" i="4"/>
  <c r="K48" i="4"/>
  <c r="I48" i="4"/>
  <c r="AN47" i="4"/>
  <c r="AM47" i="4"/>
  <c r="N47" i="4"/>
  <c r="M47" i="4"/>
  <c r="L47" i="4"/>
  <c r="K47" i="4"/>
  <c r="I47" i="4"/>
  <c r="AM46" i="4"/>
  <c r="AL46" i="4"/>
  <c r="AK46" i="4"/>
  <c r="N46" i="4"/>
  <c r="M46" i="4"/>
  <c r="L46" i="4"/>
  <c r="K46" i="4"/>
  <c r="I46" i="4"/>
  <c r="AN56" i="4"/>
  <c r="AR34" i="4"/>
  <c r="L33" i="4"/>
  <c r="L32" i="4"/>
  <c r="L31" i="4"/>
  <c r="L30" i="4"/>
  <c r="L29" i="4"/>
  <c r="L24" i="4"/>
  <c r="K24" i="4"/>
  <c r="M33" i="4"/>
  <c r="M32" i="4"/>
  <c r="M31" i="4"/>
  <c r="M30" i="4"/>
  <c r="M29" i="4"/>
  <c r="M24" i="4"/>
  <c r="K33" i="4"/>
  <c r="R33" i="4" s="1"/>
  <c r="K32" i="4"/>
  <c r="R32" i="4" s="1"/>
  <c r="K31" i="4"/>
  <c r="R31" i="4" s="1"/>
  <c r="K30" i="4"/>
  <c r="R30" i="4" s="1"/>
  <c r="K29" i="4"/>
  <c r="R29" i="4" s="1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67" i="4"/>
  <c r="R56" i="4"/>
  <c r="R45" i="4"/>
  <c r="R34" i="4"/>
  <c r="R23" i="4"/>
  <c r="R22" i="4"/>
  <c r="G13" i="4"/>
  <c r="AR56" i="4"/>
  <c r="AQ56" i="4"/>
  <c r="AP56" i="4"/>
  <c r="AO56" i="4"/>
  <c r="AK56" i="4"/>
  <c r="AJ56" i="4"/>
  <c r="AI56" i="4"/>
  <c r="AG56" i="4"/>
  <c r="AF56" i="4"/>
  <c r="AE56" i="4"/>
  <c r="AD56" i="4"/>
  <c r="AB56" i="4"/>
  <c r="AA56" i="4"/>
  <c r="Z56" i="4"/>
  <c r="Y56" i="4"/>
  <c r="X56" i="4"/>
  <c r="I56" i="4"/>
  <c r="N33" i="4"/>
  <c r="I33" i="4"/>
  <c r="N32" i="4"/>
  <c r="I32" i="4"/>
  <c r="N31" i="4"/>
  <c r="I31" i="4"/>
  <c r="AL34" i="4"/>
  <c r="AK34" i="4"/>
  <c r="AJ34" i="4"/>
  <c r="AI34" i="4"/>
  <c r="AC34" i="4"/>
  <c r="AB34" i="4"/>
  <c r="I34" i="4"/>
  <c r="N30" i="4"/>
  <c r="I30" i="4"/>
  <c r="N29" i="4"/>
  <c r="I29" i="4"/>
  <c r="AF26" i="4" l="1"/>
  <c r="AF25" i="4"/>
  <c r="AG26" i="4"/>
  <c r="AI27" i="4"/>
  <c r="AJ28" i="4"/>
  <c r="AI25" i="4"/>
  <c r="AJ26" i="4"/>
  <c r="R28" i="4"/>
  <c r="T28" i="4" s="1"/>
  <c r="AJ25" i="4"/>
  <c r="R27" i="4"/>
  <c r="T27" i="4" s="1"/>
  <c r="AM28" i="4"/>
  <c r="AK25" i="4"/>
  <c r="AN28" i="4"/>
  <c r="AL25" i="4"/>
  <c r="AO28" i="4"/>
  <c r="AM25" i="4"/>
  <c r="AN26" i="4"/>
  <c r="X27" i="4"/>
  <c r="AO27" i="4"/>
  <c r="AP28" i="4"/>
  <c r="AF28" i="4"/>
  <c r="AG27" i="4"/>
  <c r="AG25" i="4"/>
  <c r="AK28" i="4"/>
  <c r="AK27" i="4"/>
  <c r="AK26" i="4"/>
  <c r="AL27" i="4"/>
  <c r="R26" i="4"/>
  <c r="T26" i="4" s="1"/>
  <c r="R25" i="4"/>
  <c r="T25" i="4" s="1"/>
  <c r="AM26" i="4"/>
  <c r="X28" i="4"/>
  <c r="AN25" i="4"/>
  <c r="X26" i="4"/>
  <c r="AO26" i="4"/>
  <c r="AP27" i="4"/>
  <c r="Z28" i="4"/>
  <c r="AQ28" i="4"/>
  <c r="AF27" i="4"/>
  <c r="AG28" i="4"/>
  <c r="AI28" i="4"/>
  <c r="AI26" i="4"/>
  <c r="AJ27" i="4"/>
  <c r="P28" i="4"/>
  <c r="P27" i="4"/>
  <c r="AL28" i="4"/>
  <c r="P26" i="4"/>
  <c r="P25" i="4"/>
  <c r="AL26" i="4"/>
  <c r="AM27" i="4"/>
  <c r="AN27" i="4"/>
  <c r="X25" i="4"/>
  <c r="Z27" i="4"/>
  <c r="AA28" i="4"/>
  <c r="AL71" i="4"/>
  <c r="AM71" i="4"/>
  <c r="AL38" i="4"/>
  <c r="AR38" i="4"/>
  <c r="AE38" i="4"/>
  <c r="AD38" i="4"/>
  <c r="AO38" i="4"/>
  <c r="AN38" i="4"/>
  <c r="AM38" i="4"/>
  <c r="AF38" i="4"/>
  <c r="AC38" i="4"/>
  <c r="AB38" i="4"/>
  <c r="AA38" i="4"/>
  <c r="Z38" i="4"/>
  <c r="X38" i="4"/>
  <c r="AF50" i="4"/>
  <c r="AI57" i="4"/>
  <c r="P57" i="4"/>
  <c r="AR57" i="4"/>
  <c r="AQ57" i="4"/>
  <c r="AE57" i="4"/>
  <c r="AD57" i="4"/>
  <c r="AC57" i="4"/>
  <c r="AP57" i="4"/>
  <c r="AN57" i="4"/>
  <c r="AM57" i="4"/>
  <c r="AL57" i="4"/>
  <c r="AK57" i="4"/>
  <c r="AJ57" i="4"/>
  <c r="AB57" i="4"/>
  <c r="AA57" i="4"/>
  <c r="Z57" i="4"/>
  <c r="R57" i="4"/>
  <c r="T57" i="4" s="1"/>
  <c r="AQ38" i="4"/>
  <c r="AM89" i="4"/>
  <c r="AF89" i="4"/>
  <c r="AL89" i="4"/>
  <c r="AK89" i="4"/>
  <c r="AJ89" i="4"/>
  <c r="AI89" i="4"/>
  <c r="AG89" i="4"/>
  <c r="AK48" i="4"/>
  <c r="AB48" i="4"/>
  <c r="AA48" i="4"/>
  <c r="R48" i="4"/>
  <c r="T48" i="4" s="1"/>
  <c r="U48" i="4" s="1"/>
  <c r="F48" i="4" s="1"/>
  <c r="Y48" i="4" s="1"/>
  <c r="AF61" i="4"/>
  <c r="AE61" i="4"/>
  <c r="AD61" i="4"/>
  <c r="AP40" i="4"/>
  <c r="AO40" i="4"/>
  <c r="AE40" i="4"/>
  <c r="AD40" i="4"/>
  <c r="AC40" i="4"/>
  <c r="AB40" i="4"/>
  <c r="AP38" i="4"/>
  <c r="AQ98" i="4"/>
  <c r="AP98" i="4"/>
  <c r="AG98" i="4"/>
  <c r="AF98" i="4"/>
  <c r="AR98" i="4"/>
  <c r="AE98" i="4"/>
  <c r="AD98" i="4"/>
  <c r="AC98" i="4"/>
  <c r="AB98" i="4"/>
  <c r="AA98" i="4"/>
  <c r="Z98" i="4"/>
  <c r="AQ43" i="4"/>
  <c r="AA43" i="4"/>
  <c r="AR43" i="4"/>
  <c r="AR58" i="4"/>
  <c r="AQ58" i="4"/>
  <c r="AK58" i="4"/>
  <c r="AE58" i="4"/>
  <c r="AD58" i="4"/>
  <c r="AC58" i="4"/>
  <c r="AB58" i="4"/>
  <c r="AA58" i="4"/>
  <c r="AJ36" i="4"/>
  <c r="AK36" i="4"/>
  <c r="AC36" i="4"/>
  <c r="AD36" i="4"/>
  <c r="AR36" i="4"/>
  <c r="AQ36" i="4"/>
  <c r="AK37" i="4"/>
  <c r="AA37" i="4"/>
  <c r="X37" i="4"/>
  <c r="Z37" i="4"/>
  <c r="AN37" i="4"/>
  <c r="AM37" i="4"/>
  <c r="AQ39" i="4"/>
  <c r="AR39" i="4"/>
  <c r="AB39" i="4"/>
  <c r="AA39" i="4"/>
  <c r="Z39" i="4"/>
  <c r="AB80" i="4"/>
  <c r="AF80" i="4"/>
  <c r="AE80" i="4"/>
  <c r="AK94" i="4"/>
  <c r="AA94" i="4"/>
  <c r="Z94" i="4"/>
  <c r="R94" i="4"/>
  <c r="T94" i="4" s="1"/>
  <c r="X94" i="4"/>
  <c r="AM94" i="4"/>
  <c r="AL94" i="4"/>
  <c r="AE94" i="4"/>
  <c r="AJ47" i="4"/>
  <c r="P47" i="4"/>
  <c r="AE47" i="4"/>
  <c r="AD47" i="4"/>
  <c r="AI70" i="4"/>
  <c r="AG70" i="4"/>
  <c r="AF70" i="4"/>
  <c r="AJ93" i="4"/>
  <c r="AK93" i="4"/>
  <c r="AE93" i="4"/>
  <c r="AD93" i="4"/>
  <c r="AC93" i="4"/>
  <c r="AQ93" i="4"/>
  <c r="AP93" i="4"/>
  <c r="AO93" i="4"/>
  <c r="AA75" i="4"/>
  <c r="AL75" i="4"/>
  <c r="AK75" i="4"/>
  <c r="AF84" i="4"/>
  <c r="AI92" i="4"/>
  <c r="AQ92" i="4"/>
  <c r="P92" i="4"/>
  <c r="AP92" i="4"/>
  <c r="AN92" i="4"/>
  <c r="AO92" i="4"/>
  <c r="AC92" i="4"/>
  <c r="AB92" i="4"/>
  <c r="AA92" i="4"/>
  <c r="X39" i="4"/>
  <c r="AL60" i="4"/>
  <c r="AC60" i="4"/>
  <c r="AB60" i="4"/>
  <c r="AG84" i="4"/>
  <c r="P36" i="4"/>
  <c r="R37" i="4"/>
  <c r="T37" i="4" s="1"/>
  <c r="AC39" i="4"/>
  <c r="AR44" i="4"/>
  <c r="AB44" i="4"/>
  <c r="AG69" i="4"/>
  <c r="AF69" i="4"/>
  <c r="AE69" i="4"/>
  <c r="AL72" i="4"/>
  <c r="AN80" i="4"/>
  <c r="AI84" i="4"/>
  <c r="AB94" i="4"/>
  <c r="R47" i="4"/>
  <c r="T47" i="4" s="1"/>
  <c r="AM55" i="4"/>
  <c r="R55" i="4"/>
  <c r="R36" i="4"/>
  <c r="T36" i="4" s="1"/>
  <c r="AB37" i="4"/>
  <c r="AD39" i="4"/>
  <c r="R70" i="4"/>
  <c r="T70" i="4" s="1"/>
  <c r="AK78" i="4"/>
  <c r="R78" i="4"/>
  <c r="T78" i="4" s="1"/>
  <c r="U78" i="4" s="1"/>
  <c r="F78" i="4" s="1"/>
  <c r="Y78" i="4" s="1"/>
  <c r="AR78" i="4"/>
  <c r="AE78" i="4"/>
  <c r="AD78" i="4"/>
  <c r="AC78" i="4"/>
  <c r="AP79" i="4"/>
  <c r="AB79" i="4"/>
  <c r="AA79" i="4"/>
  <c r="Z79" i="4"/>
  <c r="AO80" i="4"/>
  <c r="P93" i="4"/>
  <c r="AC94" i="4"/>
  <c r="Z47" i="4"/>
  <c r="AE55" i="4"/>
  <c r="X36" i="4"/>
  <c r="AC37" i="4"/>
  <c r="AE39" i="4"/>
  <c r="AO41" i="4"/>
  <c r="AB41" i="4"/>
  <c r="AA41" i="4"/>
  <c r="Z41" i="4"/>
  <c r="AC70" i="4"/>
  <c r="X75" i="4"/>
  <c r="P85" i="4"/>
  <c r="AL85" i="4"/>
  <c r="AD85" i="4"/>
  <c r="AC85" i="4"/>
  <c r="AF90" i="4"/>
  <c r="AJ90" i="4"/>
  <c r="AI90" i="4"/>
  <c r="Z90" i="4"/>
  <c r="AG90" i="4"/>
  <c r="R92" i="4"/>
  <c r="T92" i="4" s="1"/>
  <c r="E92" i="4" s="1"/>
  <c r="R93" i="4"/>
  <c r="T93" i="4" s="1"/>
  <c r="AD94" i="4"/>
  <c r="AA47" i="4"/>
  <c r="Z36" i="4"/>
  <c r="AD37" i="4"/>
  <c r="AN39" i="4"/>
  <c r="AD60" i="4"/>
  <c r="AD70" i="4"/>
  <c r="AJ72" i="4"/>
  <c r="T74" i="4"/>
  <c r="Z75" i="4"/>
  <c r="X81" i="4"/>
  <c r="AA81" i="4"/>
  <c r="Z81" i="4"/>
  <c r="AO81" i="4"/>
  <c r="AG81" i="4"/>
  <c r="AF81" i="4"/>
  <c r="X92" i="4"/>
  <c r="X93" i="4"/>
  <c r="AN94" i="4"/>
  <c r="AB97" i="4"/>
  <c r="AB47" i="4"/>
  <c r="AA36" i="4"/>
  <c r="AE37" i="4"/>
  <c r="AO39" i="4"/>
  <c r="AC44" i="4"/>
  <c r="AK59" i="4"/>
  <c r="AR59" i="4"/>
  <c r="AM59" i="4"/>
  <c r="AL59" i="4"/>
  <c r="AE60" i="4"/>
  <c r="P65" i="4"/>
  <c r="R69" i="4"/>
  <c r="AE70" i="4"/>
  <c r="AD75" i="4"/>
  <c r="X79" i="4"/>
  <c r="P90" i="4"/>
  <c r="Z92" i="4"/>
  <c r="Z93" i="4"/>
  <c r="AO94" i="4"/>
  <c r="AC97" i="4"/>
  <c r="AI46" i="4"/>
  <c r="AJ46" i="4"/>
  <c r="AB46" i="4"/>
  <c r="AC47" i="4"/>
  <c r="X55" i="4"/>
  <c r="AB36" i="4"/>
  <c r="AL37" i="4"/>
  <c r="AP39" i="4"/>
  <c r="AD44" i="4"/>
  <c r="AM60" i="4"/>
  <c r="AB69" i="4"/>
  <c r="AJ70" i="4"/>
  <c r="AO73" i="4"/>
  <c r="AG73" i="4"/>
  <c r="X73" i="4"/>
  <c r="AF73" i="4"/>
  <c r="AE75" i="4"/>
  <c r="X78" i="4"/>
  <c r="AC79" i="4"/>
  <c r="AD92" i="4"/>
  <c r="AA93" i="4"/>
  <c r="AP94" i="4"/>
  <c r="AD97" i="4"/>
  <c r="AK47" i="4"/>
  <c r="AB55" i="4"/>
  <c r="AL36" i="4"/>
  <c r="AO37" i="4"/>
  <c r="AC41" i="4"/>
  <c r="AE44" i="4"/>
  <c r="AC69" i="4"/>
  <c r="AK70" i="4"/>
  <c r="AI75" i="4"/>
  <c r="U77" i="4"/>
  <c r="F77" i="4" s="1"/>
  <c r="Y77" i="4" s="1"/>
  <c r="Z78" i="4"/>
  <c r="AD79" i="4"/>
  <c r="AE85" i="4"/>
  <c r="R90" i="4"/>
  <c r="T90" i="4" s="1"/>
  <c r="E90" i="4" s="1"/>
  <c r="AE92" i="4"/>
  <c r="AB93" i="4"/>
  <c r="AQ94" i="4"/>
  <c r="AQ97" i="4"/>
  <c r="AL47" i="4"/>
  <c r="AC55" i="4"/>
  <c r="AM36" i="4"/>
  <c r="AP37" i="4"/>
  <c r="AN40" i="4"/>
  <c r="AR40" i="4"/>
  <c r="AQ40" i="4"/>
  <c r="AA40" i="4"/>
  <c r="Z40" i="4"/>
  <c r="X40" i="4"/>
  <c r="AD41" i="4"/>
  <c r="AJ58" i="4"/>
  <c r="AN58" i="4"/>
  <c r="AL58" i="4"/>
  <c r="AM58" i="4"/>
  <c r="Z58" i="4"/>
  <c r="R58" i="4"/>
  <c r="T58" i="4" s="1"/>
  <c r="U58" i="4" s="1"/>
  <c r="F58" i="4" s="1"/>
  <c r="P58" i="4"/>
  <c r="AC61" i="4"/>
  <c r="AR66" i="4"/>
  <c r="AI66" i="4"/>
  <c r="AE66" i="4"/>
  <c r="AD66" i="4"/>
  <c r="AG68" i="4"/>
  <c r="AF68" i="4"/>
  <c r="AE68" i="4"/>
  <c r="AD69" i="4"/>
  <c r="AL70" i="4"/>
  <c r="AJ75" i="4"/>
  <c r="AA78" i="4"/>
  <c r="AE79" i="4"/>
  <c r="AB81" i="4"/>
  <c r="AF85" i="4"/>
  <c r="X90" i="4"/>
  <c r="AJ92" i="4"/>
  <c r="AL93" i="4"/>
  <c r="AR94" i="4"/>
  <c r="AM77" i="4"/>
  <c r="T86" i="4"/>
  <c r="AA35" i="4"/>
  <c r="AA76" i="4"/>
  <c r="AN77" i="4"/>
  <c r="AM91" i="4"/>
  <c r="AC95" i="4"/>
  <c r="AB35" i="4"/>
  <c r="AK65" i="4"/>
  <c r="AG75" i="4"/>
  <c r="AM75" i="4"/>
  <c r="AB76" i="4"/>
  <c r="AO77" i="4"/>
  <c r="AB84" i="4"/>
  <c r="AN91" i="4"/>
  <c r="AD95" i="4"/>
  <c r="X97" i="4"/>
  <c r="AR95" i="4"/>
  <c r="AK54" i="4"/>
  <c r="AO35" i="4"/>
  <c r="T66" i="4"/>
  <c r="U66" i="4" s="1"/>
  <c r="F66" i="4" s="1"/>
  <c r="Y66" i="4" s="1"/>
  <c r="AI74" i="4"/>
  <c r="AB75" i="4"/>
  <c r="AN76" i="4"/>
  <c r="AB77" i="4"/>
  <c r="AF83" i="4"/>
  <c r="AK84" i="4"/>
  <c r="AC91" i="4"/>
  <c r="AF97" i="4"/>
  <c r="AN35" i="4"/>
  <c r="AM76" i="4"/>
  <c r="AA77" i="4"/>
  <c r="AP35" i="4"/>
  <c r="AM39" i="4"/>
  <c r="AJ74" i="4"/>
  <c r="AC75" i="4"/>
  <c r="AO76" i="4"/>
  <c r="AC77" i="4"/>
  <c r="AL79" i="4"/>
  <c r="AR79" i="4"/>
  <c r="AR84" i="4"/>
  <c r="AD91" i="4"/>
  <c r="AO97" i="4"/>
  <c r="AE91" i="4"/>
  <c r="AP97" i="4"/>
  <c r="E91" i="4"/>
  <c r="U91" i="4"/>
  <c r="F91" i="4" s="1"/>
  <c r="Y91" i="4" s="1"/>
  <c r="U93" i="4"/>
  <c r="F93" i="4" s="1"/>
  <c r="Y93" i="4" s="1"/>
  <c r="E93" i="4"/>
  <c r="E76" i="4"/>
  <c r="U76" i="4"/>
  <c r="F76" i="4" s="1"/>
  <c r="Y76" i="4" s="1"/>
  <c r="AI87" i="4"/>
  <c r="AE87" i="4"/>
  <c r="AD87" i="4"/>
  <c r="AL87" i="4"/>
  <c r="AF87" i="4"/>
  <c r="AK87" i="4"/>
  <c r="AJ87" i="4"/>
  <c r="AG87" i="4"/>
  <c r="T87" i="4"/>
  <c r="P87" i="4"/>
  <c r="E75" i="4"/>
  <c r="U75" i="4"/>
  <c r="F75" i="4" s="1"/>
  <c r="Y75" i="4" s="1"/>
  <c r="U86" i="4"/>
  <c r="F86" i="4" s="1"/>
  <c r="Y86" i="4" s="1"/>
  <c r="E86" i="4"/>
  <c r="AN87" i="4"/>
  <c r="E74" i="4"/>
  <c r="U74" i="4"/>
  <c r="F74" i="4" s="1"/>
  <c r="Y74" i="4" s="1"/>
  <c r="E78" i="4"/>
  <c r="AG99" i="4"/>
  <c r="AE99" i="4"/>
  <c r="AA99" i="4"/>
  <c r="Z99" i="4"/>
  <c r="AI99" i="4"/>
  <c r="AF99" i="4"/>
  <c r="AQ99" i="4"/>
  <c r="AD99" i="4"/>
  <c r="AC99" i="4"/>
  <c r="AB99" i="4"/>
  <c r="E94" i="4"/>
  <c r="U94" i="4"/>
  <c r="F94" i="4" s="1"/>
  <c r="Y94" i="4" s="1"/>
  <c r="AC71" i="4"/>
  <c r="X71" i="4"/>
  <c r="AB71" i="4"/>
  <c r="AR71" i="4"/>
  <c r="AA71" i="4"/>
  <c r="AO71" i="4"/>
  <c r="AQ71" i="4"/>
  <c r="Z71" i="4"/>
  <c r="AP71" i="4"/>
  <c r="AK71" i="4"/>
  <c r="AJ71" i="4"/>
  <c r="AG71" i="4"/>
  <c r="AN71" i="4"/>
  <c r="AI71" i="4"/>
  <c r="AF71" i="4"/>
  <c r="R71" i="4"/>
  <c r="T71" i="4" s="1"/>
  <c r="P71" i="4"/>
  <c r="AE71" i="4"/>
  <c r="AD71" i="4"/>
  <c r="P70" i="4"/>
  <c r="AE82" i="4"/>
  <c r="AQ82" i="4"/>
  <c r="AB82" i="4"/>
  <c r="AA82" i="4"/>
  <c r="Z82" i="4"/>
  <c r="AP82" i="4"/>
  <c r="AI82" i="4"/>
  <c r="AG82" i="4"/>
  <c r="AF82" i="4"/>
  <c r="AD82" i="4"/>
  <c r="AC82" i="4"/>
  <c r="T88" i="4"/>
  <c r="X96" i="4"/>
  <c r="AB83" i="4"/>
  <c r="P84" i="4"/>
  <c r="P89" i="4"/>
  <c r="AR69" i="4"/>
  <c r="AA69" i="4"/>
  <c r="AQ69" i="4"/>
  <c r="Z69" i="4"/>
  <c r="AM69" i="4"/>
  <c r="AP69" i="4"/>
  <c r="AO69" i="4"/>
  <c r="X69" i="4"/>
  <c r="AN69" i="4"/>
  <c r="P73" i="4"/>
  <c r="AA80" i="4"/>
  <c r="AE83" i="4"/>
  <c r="AB86" i="4"/>
  <c r="AN86" i="4"/>
  <c r="AR86" i="4"/>
  <c r="AA86" i="4"/>
  <c r="AQ86" i="4"/>
  <c r="Z86" i="4"/>
  <c r="AO86" i="4"/>
  <c r="AP86" i="4"/>
  <c r="X86" i="4"/>
  <c r="AM86" i="4"/>
  <c r="AA90" i="4"/>
  <c r="AE90" i="4"/>
  <c r="AR90" i="4"/>
  <c r="AD90" i="4"/>
  <c r="AC90" i="4"/>
  <c r="AB90" i="4"/>
  <c r="AN90" i="4"/>
  <c r="AO98" i="4"/>
  <c r="X98" i="4"/>
  <c r="AN98" i="4"/>
  <c r="AM98" i="4"/>
  <c r="P98" i="4"/>
  <c r="AI98" i="4"/>
  <c r="AL98" i="4"/>
  <c r="R98" i="4"/>
  <c r="T98" i="4" s="1"/>
  <c r="AK98" i="4"/>
  <c r="AJ98" i="4"/>
  <c r="AG101" i="4"/>
  <c r="AQ100" i="4"/>
  <c r="Z100" i="4"/>
  <c r="AL100" i="4"/>
  <c r="AP100" i="4"/>
  <c r="AM100" i="4"/>
  <c r="R100" i="4"/>
  <c r="T100" i="4" s="1"/>
  <c r="AO100" i="4"/>
  <c r="X100" i="4"/>
  <c r="AK100" i="4"/>
  <c r="AN100" i="4"/>
  <c r="P100" i="4"/>
  <c r="AK72" i="4"/>
  <c r="AD88" i="4"/>
  <c r="AP88" i="4"/>
  <c r="AC88" i="4"/>
  <c r="AB88" i="4"/>
  <c r="AQ88" i="4"/>
  <c r="AR88" i="4"/>
  <c r="AA88" i="4"/>
  <c r="Z88" i="4"/>
  <c r="AM96" i="4"/>
  <c r="AG96" i="4"/>
  <c r="AL96" i="4"/>
  <c r="R96" i="4"/>
  <c r="T96" i="4" s="1"/>
  <c r="AK96" i="4"/>
  <c r="P96" i="4"/>
  <c r="AJ96" i="4"/>
  <c r="AI96" i="4"/>
  <c r="AP96" i="4"/>
  <c r="AN88" i="4"/>
  <c r="AQ96" i="4"/>
  <c r="AD72" i="4"/>
  <c r="AC72" i="4"/>
  <c r="Z72" i="4"/>
  <c r="AP72" i="4"/>
  <c r="AB72" i="4"/>
  <c r="AQ72" i="4"/>
  <c r="AR72" i="4"/>
  <c r="AA72" i="4"/>
  <c r="AM72" i="4"/>
  <c r="AO88" i="4"/>
  <c r="AN72" i="4"/>
  <c r="AA100" i="4"/>
  <c r="AQ84" i="4"/>
  <c r="Z84" i="4"/>
  <c r="AP84" i="4"/>
  <c r="R84" i="4"/>
  <c r="T84" i="4" s="1"/>
  <c r="AO84" i="4"/>
  <c r="X84" i="4"/>
  <c r="AL84" i="4"/>
  <c r="AN84" i="4"/>
  <c r="AM84" i="4"/>
  <c r="P88" i="4"/>
  <c r="AB100" i="4"/>
  <c r="P75" i="4"/>
  <c r="Z83" i="4"/>
  <c r="AB101" i="4"/>
  <c r="AN97" i="4"/>
  <c r="AM97" i="4"/>
  <c r="AJ97" i="4"/>
  <c r="AI97" i="4"/>
  <c r="AL97" i="4"/>
  <c r="R97" i="4"/>
  <c r="T97" i="4" s="1"/>
  <c r="AK97" i="4"/>
  <c r="P97" i="4"/>
  <c r="AG97" i="4"/>
  <c r="AC101" i="4"/>
  <c r="Z96" i="4"/>
  <c r="AQ81" i="4"/>
  <c r="AC83" i="4"/>
  <c r="X88" i="4"/>
  <c r="AE101" i="4"/>
  <c r="AP73" i="4"/>
  <c r="Z80" i="4"/>
  <c r="AR81" i="4"/>
  <c r="AA84" i="4"/>
  <c r="AE88" i="4"/>
  <c r="AB96" i="4"/>
  <c r="X72" i="4"/>
  <c r="T69" i="4"/>
  <c r="AE72" i="4"/>
  <c r="R73" i="4"/>
  <c r="T73" i="4" s="1"/>
  <c r="AC84" i="4"/>
  <c r="AG88" i="4"/>
  <c r="AO90" i="4"/>
  <c r="AD96" i="4"/>
  <c r="AJ100" i="4"/>
  <c r="AM88" i="4"/>
  <c r="AR101" i="4"/>
  <c r="AA101" i="4"/>
  <c r="AL101" i="4"/>
  <c r="AQ101" i="4"/>
  <c r="Z101" i="4"/>
  <c r="R101" i="4"/>
  <c r="T101" i="4" s="1"/>
  <c r="AP101" i="4"/>
  <c r="AO101" i="4"/>
  <c r="X101" i="4"/>
  <c r="AN101" i="4"/>
  <c r="AM101" i="4"/>
  <c r="AP83" i="4"/>
  <c r="P83" i="4"/>
  <c r="AO83" i="4"/>
  <c r="X83" i="4"/>
  <c r="AL83" i="4"/>
  <c r="AN83" i="4"/>
  <c r="AM83" i="4"/>
  <c r="R83" i="4"/>
  <c r="T83" i="4" s="1"/>
  <c r="AK83" i="4"/>
  <c r="AM80" i="4"/>
  <c r="AL80" i="4"/>
  <c r="R80" i="4"/>
  <c r="T80" i="4" s="1"/>
  <c r="AK80" i="4"/>
  <c r="P80" i="4"/>
  <c r="AJ80" i="4"/>
  <c r="AI80" i="4"/>
  <c r="AG80" i="4"/>
  <c r="AP80" i="4"/>
  <c r="AR96" i="4"/>
  <c r="AQ80" i="4"/>
  <c r="P91" i="4"/>
  <c r="AO72" i="4"/>
  <c r="AR80" i="4"/>
  <c r="AE89" i="4"/>
  <c r="AQ89" i="4"/>
  <c r="AD89" i="4"/>
  <c r="Z89" i="4"/>
  <c r="AC89" i="4"/>
  <c r="AB89" i="4"/>
  <c r="AR89" i="4"/>
  <c r="AA89" i="4"/>
  <c r="P101" i="4"/>
  <c r="R88" i="4"/>
  <c r="AQ68" i="4"/>
  <c r="Z68" i="4"/>
  <c r="AL68" i="4"/>
  <c r="AP68" i="4"/>
  <c r="AO68" i="4"/>
  <c r="X68" i="4"/>
  <c r="AM68" i="4"/>
  <c r="AN68" i="4"/>
  <c r="R68" i="4"/>
  <c r="T68" i="4" s="1"/>
  <c r="P72" i="4"/>
  <c r="AM73" i="4"/>
  <c r="AR85" i="4"/>
  <c r="AA85" i="4"/>
  <c r="AQ85" i="4"/>
  <c r="Z85" i="4"/>
  <c r="AM85" i="4"/>
  <c r="AP85" i="4"/>
  <c r="AO85" i="4"/>
  <c r="X85" i="4"/>
  <c r="AN85" i="4"/>
  <c r="AP89" i="4"/>
  <c r="AD101" i="4"/>
  <c r="AD83" i="4"/>
  <c r="R89" i="4"/>
  <c r="T89" i="4" s="1"/>
  <c r="AF101" i="4"/>
  <c r="AB68" i="4"/>
  <c r="AB70" i="4"/>
  <c r="AR70" i="4"/>
  <c r="AA70" i="4"/>
  <c r="X70" i="4"/>
  <c r="AQ70" i="4"/>
  <c r="Z70" i="4"/>
  <c r="AO70" i="4"/>
  <c r="AP70" i="4"/>
  <c r="AN70" i="4"/>
  <c r="AM70" i="4"/>
  <c r="AF72" i="4"/>
  <c r="AR74" i="4"/>
  <c r="AD74" i="4"/>
  <c r="AB74" i="4"/>
  <c r="AA74" i="4"/>
  <c r="AC74" i="4"/>
  <c r="AN74" i="4"/>
  <c r="AC80" i="4"/>
  <c r="AG83" i="4"/>
  <c r="AD84" i="4"/>
  <c r="R85" i="4"/>
  <c r="T85" i="4" s="1"/>
  <c r="AI88" i="4"/>
  <c r="X89" i="4"/>
  <c r="AP90" i="4"/>
  <c r="AE96" i="4"/>
  <c r="Z97" i="4"/>
  <c r="AR100" i="4"/>
  <c r="AJ101" i="4"/>
  <c r="AN89" i="4"/>
  <c r="AC100" i="4"/>
  <c r="AE73" i="4"/>
  <c r="AA73" i="4"/>
  <c r="Z73" i="4"/>
  <c r="AD73" i="4"/>
  <c r="AC73" i="4"/>
  <c r="AB73" i="4"/>
  <c r="AR73" i="4"/>
  <c r="AQ73" i="4"/>
  <c r="AA83" i="4"/>
  <c r="AO89" i="4"/>
  <c r="AR97" i="4"/>
  <c r="AD100" i="4"/>
  <c r="R72" i="4"/>
  <c r="T72" i="4" s="1"/>
  <c r="AN73" i="4"/>
  <c r="X80" i="4"/>
  <c r="AE100" i="4"/>
  <c r="AN81" i="4"/>
  <c r="AI81" i="4"/>
  <c r="AM81" i="4"/>
  <c r="AL81" i="4"/>
  <c r="R81" i="4"/>
  <c r="T81" i="4" s="1"/>
  <c r="AK81" i="4"/>
  <c r="P81" i="4"/>
  <c r="AJ81" i="4"/>
  <c r="AA96" i="4"/>
  <c r="AF100" i="4"/>
  <c r="AG100" i="4"/>
  <c r="P68" i="4"/>
  <c r="AA68" i="4"/>
  <c r="AC68" i="4"/>
  <c r="P69" i="4"/>
  <c r="AG72" i="4"/>
  <c r="AO74" i="4"/>
  <c r="AD80" i="4"/>
  <c r="AO82" i="4"/>
  <c r="X82" i="4"/>
  <c r="AN82" i="4"/>
  <c r="AJ82" i="4"/>
  <c r="AM82" i="4"/>
  <c r="AK82" i="4"/>
  <c r="AL82" i="4"/>
  <c r="R82" i="4"/>
  <c r="T82" i="4" s="1"/>
  <c r="P82" i="4"/>
  <c r="AR82" i="4"/>
  <c r="AI83" i="4"/>
  <c r="AE84" i="4"/>
  <c r="AB85" i="4"/>
  <c r="AC87" i="4"/>
  <c r="AB87" i="4"/>
  <c r="AO87" i="4"/>
  <c r="AR87" i="4"/>
  <c r="AA87" i="4"/>
  <c r="AQ87" i="4"/>
  <c r="Z87" i="4"/>
  <c r="AP87" i="4"/>
  <c r="X87" i="4"/>
  <c r="AM87" i="4"/>
  <c r="AJ88" i="4"/>
  <c r="AQ90" i="4"/>
  <c r="AF96" i="4"/>
  <c r="AA97" i="4"/>
  <c r="AP99" i="4"/>
  <c r="AJ99" i="4"/>
  <c r="AO99" i="4"/>
  <c r="X99" i="4"/>
  <c r="R99" i="4"/>
  <c r="T99" i="4" s="1"/>
  <c r="AN99" i="4"/>
  <c r="AM99" i="4"/>
  <c r="AL99" i="4"/>
  <c r="AK99" i="4"/>
  <c r="P99" i="4"/>
  <c r="AK101" i="4"/>
  <c r="AF77" i="4"/>
  <c r="AG78" i="4"/>
  <c r="AI79" i="4"/>
  <c r="AF93" i="4"/>
  <c r="AG94" i="4"/>
  <c r="AI95" i="4"/>
  <c r="AF79" i="4"/>
  <c r="AG79" i="4"/>
  <c r="AG95" i="4"/>
  <c r="AF76" i="4"/>
  <c r="AG77" i="4"/>
  <c r="AI78" i="4"/>
  <c r="AJ79" i="4"/>
  <c r="AF92" i="4"/>
  <c r="AG93" i="4"/>
  <c r="AI94" i="4"/>
  <c r="AJ95" i="4"/>
  <c r="AF95" i="4"/>
  <c r="AE74" i="4"/>
  <c r="AF75" i="4"/>
  <c r="AG76" i="4"/>
  <c r="AI77" i="4"/>
  <c r="AJ78" i="4"/>
  <c r="P79" i="4"/>
  <c r="AK79" i="4"/>
  <c r="AF91" i="4"/>
  <c r="AG92" i="4"/>
  <c r="AI93" i="4"/>
  <c r="AJ94" i="4"/>
  <c r="P95" i="4"/>
  <c r="AK95" i="4"/>
  <c r="AF78" i="4"/>
  <c r="AF94" i="4"/>
  <c r="P78" i="4"/>
  <c r="R79" i="4"/>
  <c r="T79" i="4" s="1"/>
  <c r="P94" i="4"/>
  <c r="R95" i="4"/>
  <c r="T95" i="4" s="1"/>
  <c r="U65" i="4"/>
  <c r="F65" i="4" s="1"/>
  <c r="E65" i="4"/>
  <c r="AO63" i="4"/>
  <c r="X63" i="4"/>
  <c r="AM63" i="4"/>
  <c r="AL63" i="4"/>
  <c r="AK63" i="4"/>
  <c r="AJ63" i="4"/>
  <c r="AN63" i="4"/>
  <c r="R63" i="4"/>
  <c r="T63" i="4" s="1"/>
  <c r="P63" i="4"/>
  <c r="AD63" i="4"/>
  <c r="AC63" i="4"/>
  <c r="AB63" i="4"/>
  <c r="AR63" i="4"/>
  <c r="AA63" i="4"/>
  <c r="AQ63" i="4"/>
  <c r="Z63" i="4"/>
  <c r="AP63" i="4"/>
  <c r="E66" i="4"/>
  <c r="P66" i="4"/>
  <c r="AF63" i="4"/>
  <c r="AG63" i="4"/>
  <c r="AI63" i="4"/>
  <c r="AP64" i="4"/>
  <c r="AN64" i="4"/>
  <c r="AL64" i="4"/>
  <c r="AK64" i="4"/>
  <c r="AO64" i="4"/>
  <c r="X64" i="4"/>
  <c r="AM64" i="4"/>
  <c r="R64" i="4"/>
  <c r="T64" i="4" s="1"/>
  <c r="P64" i="4"/>
  <c r="AE64" i="4"/>
  <c r="AD64" i="4"/>
  <c r="AC64" i="4"/>
  <c r="AB64" i="4"/>
  <c r="AR64" i="4"/>
  <c r="AA64" i="4"/>
  <c r="AQ64" i="4"/>
  <c r="Z64" i="4"/>
  <c r="AD62" i="4"/>
  <c r="AM61" i="4"/>
  <c r="AK61" i="4"/>
  <c r="P61" i="4"/>
  <c r="AI61" i="4"/>
  <c r="AL61" i="4"/>
  <c r="R61" i="4"/>
  <c r="T61" i="4" s="1"/>
  <c r="AJ61" i="4"/>
  <c r="AG61" i="4"/>
  <c r="AB61" i="4"/>
  <c r="AR61" i="4"/>
  <c r="AA61" i="4"/>
  <c r="AQ61" i="4"/>
  <c r="Z61" i="4"/>
  <c r="AP61" i="4"/>
  <c r="AO61" i="4"/>
  <c r="X61" i="4"/>
  <c r="AN61" i="4"/>
  <c r="AF64" i="4"/>
  <c r="AO65" i="4"/>
  <c r="X65" i="4"/>
  <c r="AL65" i="4"/>
  <c r="AN65" i="4"/>
  <c r="AM65" i="4"/>
  <c r="AE65" i="4"/>
  <c r="AD65" i="4"/>
  <c r="AC65" i="4"/>
  <c r="AB65" i="4"/>
  <c r="AR65" i="4"/>
  <c r="AA65" i="4"/>
  <c r="AN62" i="4"/>
  <c r="AL62" i="4"/>
  <c r="R62" i="4"/>
  <c r="P62" i="4"/>
  <c r="AJ62" i="4"/>
  <c r="AM62" i="4"/>
  <c r="AK62" i="4"/>
  <c r="AI62" i="4"/>
  <c r="AC62" i="4"/>
  <c r="AB62" i="4"/>
  <c r="AR62" i="4"/>
  <c r="AA62" i="4"/>
  <c r="AQ62" i="4"/>
  <c r="Z62" i="4"/>
  <c r="AP62" i="4"/>
  <c r="AO62" i="4"/>
  <c r="X62" i="4"/>
  <c r="AG65" i="4"/>
  <c r="E57" i="4"/>
  <c r="U57" i="4"/>
  <c r="F57" i="4" s="1"/>
  <c r="T62" i="4"/>
  <c r="AI65" i="4"/>
  <c r="AJ65" i="4"/>
  <c r="AE62" i="4"/>
  <c r="E59" i="4"/>
  <c r="AG62" i="4"/>
  <c r="AG64" i="4"/>
  <c r="AN60" i="4"/>
  <c r="AN59" i="4"/>
  <c r="X60" i="4"/>
  <c r="AO60" i="4"/>
  <c r="X59" i="4"/>
  <c r="AO59" i="4"/>
  <c r="AP60" i="4"/>
  <c r="X58" i="4"/>
  <c r="AO58" i="4"/>
  <c r="Y59" i="4"/>
  <c r="AP59" i="4"/>
  <c r="Z60" i="4"/>
  <c r="AQ60" i="4"/>
  <c r="AF66" i="4"/>
  <c r="X57" i="4"/>
  <c r="AO57" i="4"/>
  <c r="Y58" i="4"/>
  <c r="AP58" i="4"/>
  <c r="Z59" i="4"/>
  <c r="AQ59" i="4"/>
  <c r="AA60" i="4"/>
  <c r="AR60" i="4"/>
  <c r="AF65" i="4"/>
  <c r="AG66" i="4"/>
  <c r="AG60" i="4"/>
  <c r="AF58" i="4"/>
  <c r="AI60" i="4"/>
  <c r="AF57" i="4"/>
  <c r="AG58" i="4"/>
  <c r="AI59" i="4"/>
  <c r="AG57" i="4"/>
  <c r="AI58" i="4"/>
  <c r="AJ59" i="4"/>
  <c r="P60" i="4"/>
  <c r="AK60" i="4"/>
  <c r="Y65" i="4"/>
  <c r="AP65" i="4"/>
  <c r="Z66" i="4"/>
  <c r="AQ66" i="4"/>
  <c r="AF60" i="4"/>
  <c r="AF59" i="4"/>
  <c r="AG59" i="4"/>
  <c r="AJ60" i="4"/>
  <c r="AP66" i="4"/>
  <c r="P59" i="4"/>
  <c r="R60" i="4"/>
  <c r="T60" i="4" s="1"/>
  <c r="Z65" i="4"/>
  <c r="AA66" i="4"/>
  <c r="E36" i="4"/>
  <c r="U36" i="4"/>
  <c r="F36" i="4" s="1"/>
  <c r="Y36" i="4" s="1"/>
  <c r="U37" i="4"/>
  <c r="F37" i="4" s="1"/>
  <c r="Y37" i="4" s="1"/>
  <c r="E37" i="4"/>
  <c r="U35" i="4"/>
  <c r="F35" i="4" s="1"/>
  <c r="Y35" i="4" s="1"/>
  <c r="E35" i="4"/>
  <c r="AF44" i="4"/>
  <c r="AG44" i="4"/>
  <c r="AI44" i="4"/>
  <c r="AF41" i="4"/>
  <c r="AG42" i="4"/>
  <c r="AJ44" i="4"/>
  <c r="AG41" i="4"/>
  <c r="AK44" i="4"/>
  <c r="AI41" i="4"/>
  <c r="AJ42" i="4"/>
  <c r="P43" i="4"/>
  <c r="AL44" i="4"/>
  <c r="AI40" i="4"/>
  <c r="AJ41" i="4"/>
  <c r="P42" i="4"/>
  <c r="AK42" i="4"/>
  <c r="R43" i="4"/>
  <c r="T43" i="4" s="1"/>
  <c r="AL43" i="4"/>
  <c r="AM44" i="4"/>
  <c r="AD35" i="4"/>
  <c r="AE36" i="4"/>
  <c r="AF37" i="4"/>
  <c r="AG38" i="4"/>
  <c r="AI39" i="4"/>
  <c r="AJ40" i="4"/>
  <c r="P41" i="4"/>
  <c r="AK41" i="4"/>
  <c r="R42" i="4"/>
  <c r="T42" i="4" s="1"/>
  <c r="AL42" i="4"/>
  <c r="AM43" i="4"/>
  <c r="AN44" i="4"/>
  <c r="AD43" i="4"/>
  <c r="AE43" i="4"/>
  <c r="AF43" i="4"/>
  <c r="AF42" i="4"/>
  <c r="AJ43" i="4"/>
  <c r="R44" i="4"/>
  <c r="T44" i="4" s="1"/>
  <c r="AF36" i="4"/>
  <c r="AG37" i="4"/>
  <c r="AI38" i="4"/>
  <c r="AJ39" i="4"/>
  <c r="P40" i="4"/>
  <c r="AK40" i="4"/>
  <c r="R41" i="4"/>
  <c r="T41" i="4" s="1"/>
  <c r="AL41" i="4"/>
  <c r="AM42" i="4"/>
  <c r="AN43" i="4"/>
  <c r="X44" i="4"/>
  <c r="AO44" i="4"/>
  <c r="AC43" i="4"/>
  <c r="AF40" i="4"/>
  <c r="AG40" i="4"/>
  <c r="AF35" i="4"/>
  <c r="AG36" i="4"/>
  <c r="AI37" i="4"/>
  <c r="AJ38" i="4"/>
  <c r="P39" i="4"/>
  <c r="AK39" i="4"/>
  <c r="R40" i="4"/>
  <c r="T40" i="4" s="1"/>
  <c r="AL40" i="4"/>
  <c r="AM41" i="4"/>
  <c r="AN42" i="4"/>
  <c r="X43" i="4"/>
  <c r="AO43" i="4"/>
  <c r="AP44" i="4"/>
  <c r="AB43" i="4"/>
  <c r="AI42" i="4"/>
  <c r="AF39" i="4"/>
  <c r="AK43" i="4"/>
  <c r="AG35" i="4"/>
  <c r="AI36" i="4"/>
  <c r="AJ37" i="4"/>
  <c r="P38" i="4"/>
  <c r="AK38" i="4"/>
  <c r="R39" i="4"/>
  <c r="T39" i="4" s="1"/>
  <c r="AL39" i="4"/>
  <c r="AM40" i="4"/>
  <c r="AN41" i="4"/>
  <c r="X42" i="4"/>
  <c r="AO42" i="4"/>
  <c r="AP43" i="4"/>
  <c r="Z44" i="4"/>
  <c r="AQ44" i="4"/>
  <c r="AG43" i="4"/>
  <c r="AI43" i="4"/>
  <c r="P44" i="4"/>
  <c r="AG39" i="4"/>
  <c r="P37" i="4"/>
  <c r="R38" i="4"/>
  <c r="T38" i="4" s="1"/>
  <c r="X41" i="4"/>
  <c r="Z43" i="4"/>
  <c r="AA44" i="4"/>
  <c r="AC48" i="4"/>
  <c r="AG53" i="4"/>
  <c r="AN46" i="4"/>
  <c r="AP46" i="4"/>
  <c r="AJ53" i="4"/>
  <c r="AQ46" i="4"/>
  <c r="AL48" i="4"/>
  <c r="R46" i="4"/>
  <c r="T46" i="4" s="1"/>
  <c r="E46" i="4" s="1"/>
  <c r="AQ47" i="4"/>
  <c r="AK55" i="4"/>
  <c r="Z46" i="4"/>
  <c r="AR47" i="4"/>
  <c r="AL55" i="4"/>
  <c r="AD48" i="4"/>
  <c r="AE48" i="4"/>
  <c r="AR46" i="4"/>
  <c r="AM48" i="4"/>
  <c r="AI55" i="4"/>
  <c r="P46" i="4"/>
  <c r="AR48" i="4"/>
  <c r="AJ55" i="4"/>
  <c r="T54" i="4"/>
  <c r="U54" i="4" s="1"/>
  <c r="F54" i="4" s="1"/>
  <c r="Y54" i="4" s="1"/>
  <c r="AA46" i="4"/>
  <c r="AC46" i="4"/>
  <c r="AR55" i="4"/>
  <c r="AD46" i="4"/>
  <c r="U47" i="4"/>
  <c r="F47" i="4" s="1"/>
  <c r="Y47" i="4" s="1"/>
  <c r="AE46" i="4"/>
  <c r="T55" i="4"/>
  <c r="U55" i="4" s="1"/>
  <c r="F55" i="4" s="1"/>
  <c r="Y55" i="4" s="1"/>
  <c r="AL49" i="4"/>
  <c r="R49" i="4"/>
  <c r="T49" i="4" s="1"/>
  <c r="AJ49" i="4"/>
  <c r="AG49" i="4"/>
  <c r="AK49" i="4"/>
  <c r="P49" i="4"/>
  <c r="AI49" i="4"/>
  <c r="AR49" i="4"/>
  <c r="AA49" i="4"/>
  <c r="AQ49" i="4"/>
  <c r="Z49" i="4"/>
  <c r="AP49" i="4"/>
  <c r="AO49" i="4"/>
  <c r="X49" i="4"/>
  <c r="AN49" i="4"/>
  <c r="AC50" i="4"/>
  <c r="AD50" i="4"/>
  <c r="AE50" i="4"/>
  <c r="AE52" i="4"/>
  <c r="AO52" i="4"/>
  <c r="X52" i="4"/>
  <c r="AM52" i="4"/>
  <c r="AK52" i="4"/>
  <c r="AN52" i="4"/>
  <c r="AL52" i="4"/>
  <c r="R52" i="4"/>
  <c r="T52" i="4" s="1"/>
  <c r="P52" i="4"/>
  <c r="AJ52" i="4"/>
  <c r="AD52" i="4"/>
  <c r="AC52" i="4"/>
  <c r="AB52" i="4"/>
  <c r="AR52" i="4"/>
  <c r="AA52" i="4"/>
  <c r="AQ52" i="4"/>
  <c r="Z52" i="4"/>
  <c r="AP52" i="4"/>
  <c r="AQ54" i="4"/>
  <c r="AB49" i="4"/>
  <c r="AD49" i="4"/>
  <c r="AG52" i="4"/>
  <c r="AN51" i="4"/>
  <c r="AL51" i="4"/>
  <c r="AM51" i="4"/>
  <c r="R51" i="4"/>
  <c r="T51" i="4" s="1"/>
  <c r="AK51" i="4"/>
  <c r="P51" i="4"/>
  <c r="AJ51" i="4"/>
  <c r="AI51" i="4"/>
  <c r="AC51" i="4"/>
  <c r="AB51" i="4"/>
  <c r="AR51" i="4"/>
  <c r="AA51" i="4"/>
  <c r="AQ51" i="4"/>
  <c r="Z51" i="4"/>
  <c r="AP51" i="4"/>
  <c r="AO51" i="4"/>
  <c r="X51" i="4"/>
  <c r="AF49" i="4"/>
  <c r="AP53" i="4"/>
  <c r="AO53" i="4"/>
  <c r="X53" i="4"/>
  <c r="AN53" i="4"/>
  <c r="AM53" i="4"/>
  <c r="AL53" i="4"/>
  <c r="R53" i="4"/>
  <c r="T53" i="4" s="1"/>
  <c r="AK53" i="4"/>
  <c r="P53" i="4"/>
  <c r="AE53" i="4"/>
  <c r="AD53" i="4"/>
  <c r="AC53" i="4"/>
  <c r="AB53" i="4"/>
  <c r="AR53" i="4"/>
  <c r="AA53" i="4"/>
  <c r="AQ53" i="4"/>
  <c r="Z53" i="4"/>
  <c r="AD51" i="4"/>
  <c r="P55" i="4"/>
  <c r="X54" i="4"/>
  <c r="AO54" i="4"/>
  <c r="AN54" i="4"/>
  <c r="AM54" i="4"/>
  <c r="AL54" i="4"/>
  <c r="AE54" i="4"/>
  <c r="AD54" i="4"/>
  <c r="AC54" i="4"/>
  <c r="AB54" i="4"/>
  <c r="AR54" i="4"/>
  <c r="AA54" i="4"/>
  <c r="AC49" i="4"/>
  <c r="E47" i="4"/>
  <c r="AE49" i="4"/>
  <c r="AG54" i="4"/>
  <c r="AE51" i="4"/>
  <c r="E54" i="4"/>
  <c r="P54" i="4"/>
  <c r="AI52" i="4"/>
  <c r="AM49" i="4"/>
  <c r="AI54" i="4"/>
  <c r="AJ54" i="4"/>
  <c r="AM50" i="4"/>
  <c r="AK50" i="4"/>
  <c r="AI50" i="4"/>
  <c r="AL50" i="4"/>
  <c r="R50" i="4"/>
  <c r="T50" i="4" s="1"/>
  <c r="P50" i="4"/>
  <c r="AJ50" i="4"/>
  <c r="AG50" i="4"/>
  <c r="AB50" i="4"/>
  <c r="AR50" i="4"/>
  <c r="AA50" i="4"/>
  <c r="AQ50" i="4"/>
  <c r="Z50" i="4"/>
  <c r="AP50" i="4"/>
  <c r="AO50" i="4"/>
  <c r="X50" i="4"/>
  <c r="AN50" i="4"/>
  <c r="AF51" i="4"/>
  <c r="AF53" i="4"/>
  <c r="AN48" i="4"/>
  <c r="X48" i="4"/>
  <c r="AO48" i="4"/>
  <c r="X47" i="4"/>
  <c r="AO47" i="4"/>
  <c r="AP48" i="4"/>
  <c r="AF55" i="4"/>
  <c r="X46" i="4"/>
  <c r="AO46" i="4"/>
  <c r="AP47" i="4"/>
  <c r="Z48" i="4"/>
  <c r="AQ48" i="4"/>
  <c r="AF54" i="4"/>
  <c r="AG55" i="4"/>
  <c r="AF48" i="4"/>
  <c r="AF47" i="4"/>
  <c r="AG48" i="4"/>
  <c r="AO55" i="4"/>
  <c r="AG47" i="4"/>
  <c r="AP55" i="4"/>
  <c r="AG46" i="4"/>
  <c r="AI47" i="4"/>
  <c r="AJ48" i="4"/>
  <c r="AP54" i="4"/>
  <c r="Z55" i="4"/>
  <c r="AQ55" i="4"/>
  <c r="AF46" i="4"/>
  <c r="AI48" i="4"/>
  <c r="P48" i="4"/>
  <c r="Z54" i="4"/>
  <c r="AA55" i="4"/>
  <c r="AE31" i="4"/>
  <c r="AD34" i="4"/>
  <c r="AE34" i="4"/>
  <c r="AF34" i="4"/>
  <c r="AG34" i="4"/>
  <c r="AC56" i="4"/>
  <c r="AN34" i="4"/>
  <c r="X34" i="4"/>
  <c r="Y34" i="4"/>
  <c r="AP34" i="4"/>
  <c r="AL56" i="4"/>
  <c r="AO34" i="4"/>
  <c r="Z34" i="4"/>
  <c r="AQ34" i="4"/>
  <c r="AM56" i="4"/>
  <c r="AM34" i="4"/>
  <c r="AA34" i="4"/>
  <c r="X24" i="4"/>
  <c r="AG32" i="4"/>
  <c r="R24" i="4"/>
  <c r="AJ33" i="4"/>
  <c r="AJ29" i="4"/>
  <c r="AC32" i="4"/>
  <c r="AD32" i="4"/>
  <c r="AF32" i="4"/>
  <c r="AE32" i="4"/>
  <c r="AI32" i="4"/>
  <c r="AJ32" i="4"/>
  <c r="AR33" i="4"/>
  <c r="P33" i="4"/>
  <c r="T33" i="4"/>
  <c r="E33" i="4" s="1"/>
  <c r="Z33" i="4"/>
  <c r="AA33" i="4"/>
  <c r="AC33" i="4"/>
  <c r="AN33" i="4"/>
  <c r="AK32" i="4"/>
  <c r="AP33" i="4"/>
  <c r="AB33" i="4"/>
  <c r="AD33" i="4"/>
  <c r="AE33" i="4"/>
  <c r="AO33" i="4"/>
  <c r="AQ33" i="4"/>
  <c r="AO32" i="4"/>
  <c r="X32" i="4"/>
  <c r="AP32" i="4"/>
  <c r="AQ32" i="4"/>
  <c r="AF33" i="4"/>
  <c r="T32" i="4"/>
  <c r="Z32" i="4"/>
  <c r="AR32" i="4"/>
  <c r="AK33" i="4"/>
  <c r="AL32" i="4"/>
  <c r="AA32" i="4"/>
  <c r="AL33" i="4"/>
  <c r="AF31" i="4"/>
  <c r="AM32" i="4"/>
  <c r="AN32" i="4"/>
  <c r="AB32" i="4"/>
  <c r="AM33" i="4"/>
  <c r="AG31" i="4"/>
  <c r="AI31" i="4"/>
  <c r="P32" i="4"/>
  <c r="AJ31" i="4"/>
  <c r="P31" i="4"/>
  <c r="AK31" i="4"/>
  <c r="T31" i="4"/>
  <c r="AL31" i="4"/>
  <c r="AM31" i="4"/>
  <c r="AP31" i="4"/>
  <c r="AQ31" i="4"/>
  <c r="AA31" i="4"/>
  <c r="AR31" i="4"/>
  <c r="AC31" i="4"/>
  <c r="AG33" i="4"/>
  <c r="X31" i="4"/>
  <c r="AO31" i="4"/>
  <c r="Z31" i="4"/>
  <c r="AB31" i="4"/>
  <c r="AD31" i="4"/>
  <c r="AI33" i="4"/>
  <c r="AN31" i="4"/>
  <c r="AE30" i="4"/>
  <c r="AD30" i="4"/>
  <c r="AC30" i="4"/>
  <c r="AB30" i="4"/>
  <c r="AR30" i="4"/>
  <c r="AA30" i="4"/>
  <c r="AQ30" i="4"/>
  <c r="Z30" i="4"/>
  <c r="AP30" i="4"/>
  <c r="AO30" i="4"/>
  <c r="AN30" i="4"/>
  <c r="AM30" i="4"/>
  <c r="AL30" i="4"/>
  <c r="P30" i="4"/>
  <c r="T30" i="4"/>
  <c r="AF30" i="4"/>
  <c r="AG30" i="4"/>
  <c r="AI30" i="4"/>
  <c r="AJ30" i="4"/>
  <c r="AK30" i="4"/>
  <c r="AP29" i="4"/>
  <c r="AQ29" i="4"/>
  <c r="AM29" i="4"/>
  <c r="AN29" i="4"/>
  <c r="AO29" i="4"/>
  <c r="AR29" i="4"/>
  <c r="AE29" i="4"/>
  <c r="T29" i="4"/>
  <c r="U29" i="4" s="1"/>
  <c r="F29" i="4" s="1"/>
  <c r="X29" i="4" s="1"/>
  <c r="AA29" i="4"/>
  <c r="AB29" i="4"/>
  <c r="AC29" i="4"/>
  <c r="AD29" i="4"/>
  <c r="AK29" i="4"/>
  <c r="P29" i="4"/>
  <c r="Z29" i="4"/>
  <c r="AL29" i="4"/>
  <c r="AF29" i="4"/>
  <c r="AG29" i="4"/>
  <c r="AI29" i="4"/>
  <c r="G15" i="4"/>
  <c r="G12" i="4"/>
  <c r="G14" i="4"/>
  <c r="E28" i="4" l="1"/>
  <c r="U28" i="4"/>
  <c r="F28" i="4" s="1"/>
  <c r="Y28" i="4" s="1"/>
  <c r="U25" i="4"/>
  <c r="F25" i="4" s="1"/>
  <c r="Y25" i="4" s="1"/>
  <c r="E25" i="4"/>
  <c r="U26" i="4"/>
  <c r="F26" i="4" s="1"/>
  <c r="Y26" i="4" s="1"/>
  <c r="E26" i="4"/>
  <c r="U27" i="4"/>
  <c r="F27" i="4" s="1"/>
  <c r="Y27" i="4" s="1"/>
  <c r="E27" i="4"/>
  <c r="U92" i="4"/>
  <c r="F92" i="4" s="1"/>
  <c r="Y92" i="4" s="1"/>
  <c r="U46" i="4"/>
  <c r="F46" i="4" s="1"/>
  <c r="U90" i="4"/>
  <c r="F90" i="4" s="1"/>
  <c r="Y90" i="4" s="1"/>
  <c r="Y57" i="4"/>
  <c r="E58" i="4"/>
  <c r="E48" i="4"/>
  <c r="U82" i="4"/>
  <c r="F82" i="4" s="1"/>
  <c r="Y82" i="4" s="1"/>
  <c r="E82" i="4"/>
  <c r="E96" i="4"/>
  <c r="U96" i="4"/>
  <c r="F96" i="4" s="1"/>
  <c r="Y96" i="4" s="1"/>
  <c r="E73" i="4"/>
  <c r="U73" i="4"/>
  <c r="F73" i="4" s="1"/>
  <c r="Y73" i="4" s="1"/>
  <c r="U99" i="4"/>
  <c r="F99" i="4" s="1"/>
  <c r="Y99" i="4" s="1"/>
  <c r="E99" i="4"/>
  <c r="U80" i="4"/>
  <c r="F80" i="4" s="1"/>
  <c r="Y80" i="4" s="1"/>
  <c r="E80" i="4"/>
  <c r="U97" i="4"/>
  <c r="F97" i="4" s="1"/>
  <c r="Y97" i="4" s="1"/>
  <c r="E97" i="4"/>
  <c r="U84" i="4"/>
  <c r="F84" i="4" s="1"/>
  <c r="Y84" i="4" s="1"/>
  <c r="E84" i="4"/>
  <c r="U68" i="4"/>
  <c r="F68" i="4" s="1"/>
  <c r="Y68" i="4" s="1"/>
  <c r="E68" i="4"/>
  <c r="E89" i="4"/>
  <c r="U89" i="4"/>
  <c r="F89" i="4" s="1"/>
  <c r="Y89" i="4" s="1"/>
  <c r="U98" i="4"/>
  <c r="F98" i="4" s="1"/>
  <c r="Y98" i="4" s="1"/>
  <c r="E98" i="4"/>
  <c r="U100" i="4"/>
  <c r="F100" i="4" s="1"/>
  <c r="Y100" i="4" s="1"/>
  <c r="E100" i="4"/>
  <c r="E72" i="4"/>
  <c r="U72" i="4"/>
  <c r="F72" i="4" s="1"/>
  <c r="Y72" i="4" s="1"/>
  <c r="U83" i="4"/>
  <c r="F83" i="4" s="1"/>
  <c r="Y83" i="4" s="1"/>
  <c r="E83" i="4"/>
  <c r="E88" i="4"/>
  <c r="U88" i="4"/>
  <c r="F88" i="4" s="1"/>
  <c r="Y88" i="4" s="1"/>
  <c r="U85" i="4"/>
  <c r="F85" i="4" s="1"/>
  <c r="Y85" i="4" s="1"/>
  <c r="E85" i="4"/>
  <c r="U69" i="4"/>
  <c r="F69" i="4" s="1"/>
  <c r="Y69" i="4" s="1"/>
  <c r="E69" i="4"/>
  <c r="E95" i="4"/>
  <c r="U95" i="4"/>
  <c r="F95" i="4" s="1"/>
  <c r="Y95" i="4" s="1"/>
  <c r="E87" i="4"/>
  <c r="U87" i="4"/>
  <c r="F87" i="4" s="1"/>
  <c r="Y87" i="4" s="1"/>
  <c r="U70" i="4"/>
  <c r="F70" i="4" s="1"/>
  <c r="Y70" i="4" s="1"/>
  <c r="E70" i="4"/>
  <c r="U101" i="4"/>
  <c r="F101" i="4" s="1"/>
  <c r="Y101" i="4" s="1"/>
  <c r="E101" i="4"/>
  <c r="E71" i="4"/>
  <c r="U71" i="4"/>
  <c r="F71" i="4" s="1"/>
  <c r="Y71" i="4" s="1"/>
  <c r="U81" i="4"/>
  <c r="F81" i="4" s="1"/>
  <c r="Y81" i="4" s="1"/>
  <c r="E81" i="4"/>
  <c r="U79" i="4"/>
  <c r="F79" i="4" s="1"/>
  <c r="Y79" i="4" s="1"/>
  <c r="E79" i="4"/>
  <c r="U63" i="4"/>
  <c r="F63" i="4" s="1"/>
  <c r="Y63" i="4" s="1"/>
  <c r="E63" i="4"/>
  <c r="U61" i="4"/>
  <c r="F61" i="4" s="1"/>
  <c r="Y61" i="4" s="1"/>
  <c r="E61" i="4"/>
  <c r="U64" i="4"/>
  <c r="F64" i="4" s="1"/>
  <c r="Y64" i="4" s="1"/>
  <c r="E64" i="4"/>
  <c r="U60" i="4"/>
  <c r="F60" i="4" s="1"/>
  <c r="Y60" i="4" s="1"/>
  <c r="E60" i="4"/>
  <c r="U62" i="4"/>
  <c r="F62" i="4" s="1"/>
  <c r="Y62" i="4" s="1"/>
  <c r="E62" i="4"/>
  <c r="E43" i="4"/>
  <c r="U43" i="4"/>
  <c r="F43" i="4" s="1"/>
  <c r="Y43" i="4" s="1"/>
  <c r="U41" i="4"/>
  <c r="F41" i="4" s="1"/>
  <c r="Y41" i="4" s="1"/>
  <c r="E41" i="4"/>
  <c r="E42" i="4"/>
  <c r="U42" i="4"/>
  <c r="F42" i="4" s="1"/>
  <c r="Y42" i="4" s="1"/>
  <c r="U39" i="4"/>
  <c r="F39" i="4" s="1"/>
  <c r="Y39" i="4" s="1"/>
  <c r="E39" i="4"/>
  <c r="E38" i="4"/>
  <c r="U38" i="4"/>
  <c r="F38" i="4" s="1"/>
  <c r="Y38" i="4" s="1"/>
  <c r="U44" i="4"/>
  <c r="F44" i="4" s="1"/>
  <c r="Y44" i="4" s="1"/>
  <c r="E44" i="4"/>
  <c r="U40" i="4"/>
  <c r="F40" i="4" s="1"/>
  <c r="Y40" i="4" s="1"/>
  <c r="E40" i="4"/>
  <c r="Y46" i="4"/>
  <c r="E55" i="4"/>
  <c r="U53" i="4"/>
  <c r="F53" i="4" s="1"/>
  <c r="Y53" i="4" s="1"/>
  <c r="E53" i="4"/>
  <c r="U52" i="4"/>
  <c r="F52" i="4" s="1"/>
  <c r="Y52" i="4" s="1"/>
  <c r="E52" i="4"/>
  <c r="U51" i="4"/>
  <c r="F51" i="4" s="1"/>
  <c r="Y51" i="4" s="1"/>
  <c r="E51" i="4"/>
  <c r="U50" i="4"/>
  <c r="F50" i="4" s="1"/>
  <c r="Y50" i="4" s="1"/>
  <c r="E50" i="4"/>
  <c r="U49" i="4"/>
  <c r="F49" i="4" s="1"/>
  <c r="Y49" i="4" s="1"/>
  <c r="E49" i="4"/>
  <c r="Y29" i="4"/>
  <c r="U32" i="4"/>
  <c r="F32" i="4" s="1"/>
  <c r="Y32" i="4" s="1"/>
  <c r="E32" i="4"/>
  <c r="U33" i="4"/>
  <c r="F33" i="4" s="1"/>
  <c r="U31" i="4"/>
  <c r="F31" i="4" s="1"/>
  <c r="Y31" i="4" s="1"/>
  <c r="E31" i="4"/>
  <c r="E30" i="4"/>
  <c r="U30" i="4"/>
  <c r="F30" i="4" s="1"/>
  <c r="E29" i="4"/>
  <c r="G5" i="4"/>
  <c r="G6" i="4"/>
  <c r="G7" i="4"/>
  <c r="G8" i="4"/>
  <c r="G9" i="4"/>
  <c r="G10" i="4"/>
  <c r="G11" i="4"/>
  <c r="G4" i="4"/>
  <c r="N24" i="4"/>
  <c r="I24" i="4"/>
  <c r="AR45" i="4"/>
  <c r="AQ45" i="4"/>
  <c r="AP45" i="4"/>
  <c r="AO45" i="4"/>
  <c r="AN45" i="4"/>
  <c r="AM45" i="4"/>
  <c r="AL45" i="4"/>
  <c r="AK45" i="4"/>
  <c r="AJ45" i="4"/>
  <c r="AI45" i="4"/>
  <c r="AG45" i="4"/>
  <c r="AF45" i="4"/>
  <c r="AE45" i="4"/>
  <c r="AD45" i="4"/>
  <c r="AC45" i="4"/>
  <c r="AB45" i="4"/>
  <c r="AA45" i="4"/>
  <c r="Z45" i="4"/>
  <c r="Y45" i="4"/>
  <c r="X45" i="4"/>
  <c r="I45" i="4"/>
  <c r="E56" i="4" l="1"/>
  <c r="E45" i="4"/>
  <c r="E34" i="4"/>
  <c r="X33" i="4"/>
  <c r="Y33" i="4"/>
  <c r="X30" i="4"/>
  <c r="Y30" i="4"/>
  <c r="AR24" i="4"/>
  <c r="T24" i="4"/>
  <c r="E24" i="4" s="1"/>
  <c r="AB24" i="4"/>
  <c r="AC24" i="4"/>
  <c r="AD24" i="4"/>
  <c r="AE24" i="4"/>
  <c r="AF24" i="4"/>
  <c r="AG24" i="4"/>
  <c r="AI24" i="4"/>
  <c r="AJ24" i="4"/>
  <c r="AL24" i="4"/>
  <c r="AN24" i="4"/>
  <c r="AK24" i="4"/>
  <c r="AM24" i="4"/>
  <c r="AP24" i="4"/>
  <c r="Z24" i="4"/>
  <c r="AQ24" i="4"/>
  <c r="P24" i="4"/>
  <c r="AO24" i="4"/>
  <c r="AA24" i="4"/>
  <c r="AC5" i="4"/>
  <c r="U24" i="4" l="1"/>
  <c r="F24" i="4" s="1"/>
  <c r="E23" i="4" s="1"/>
  <c r="X5" i="4"/>
  <c r="AL23" i="4"/>
  <c r="AL67" i="4"/>
  <c r="AD109" i="4"/>
  <c r="AP111" i="4"/>
  <c r="AJ120" i="4"/>
  <c r="AN121" i="4"/>
  <c r="AP124" i="4"/>
  <c r="AN125" i="4"/>
  <c r="AM128" i="4"/>
  <c r="AQ132" i="4"/>
  <c r="AR140" i="4"/>
  <c r="AQ140" i="4"/>
  <c r="AP140" i="4"/>
  <c r="AO140" i="4"/>
  <c r="AN140" i="4"/>
  <c r="AM140" i="4"/>
  <c r="AL140" i="4"/>
  <c r="AK140" i="4"/>
  <c r="AJ140" i="4"/>
  <c r="AI140" i="4"/>
  <c r="AG140" i="4"/>
  <c r="AF140" i="4"/>
  <c r="AE140" i="4"/>
  <c r="AD140" i="4"/>
  <c r="AC140" i="4"/>
  <c r="AB140" i="4"/>
  <c r="AA140" i="4"/>
  <c r="Z140" i="4"/>
  <c r="Y140" i="4"/>
  <c r="X140" i="4"/>
  <c r="AR139" i="4"/>
  <c r="AQ139" i="4"/>
  <c r="AP139" i="4"/>
  <c r="AO139" i="4"/>
  <c r="AN139" i="4"/>
  <c r="AM139" i="4"/>
  <c r="AL139" i="4"/>
  <c r="AK139" i="4"/>
  <c r="AJ139" i="4"/>
  <c r="AI139" i="4"/>
  <c r="AG139" i="4"/>
  <c r="AF139" i="4"/>
  <c r="AE139" i="4"/>
  <c r="AD139" i="4"/>
  <c r="AC139" i="4"/>
  <c r="AB139" i="4"/>
  <c r="AA139" i="4"/>
  <c r="Z139" i="4"/>
  <c r="Y139" i="4"/>
  <c r="X139" i="4"/>
  <c r="AR138" i="4"/>
  <c r="AQ138" i="4"/>
  <c r="AP138" i="4"/>
  <c r="AO138" i="4"/>
  <c r="AN138" i="4"/>
  <c r="AM138" i="4"/>
  <c r="AL138" i="4"/>
  <c r="AK138" i="4"/>
  <c r="AJ138" i="4"/>
  <c r="AI138" i="4"/>
  <c r="AG138" i="4"/>
  <c r="AF138" i="4"/>
  <c r="AE138" i="4"/>
  <c r="AD138" i="4"/>
  <c r="AC138" i="4"/>
  <c r="AB138" i="4"/>
  <c r="AA138" i="4"/>
  <c r="Z138" i="4"/>
  <c r="Y138" i="4"/>
  <c r="X138" i="4"/>
  <c r="AR137" i="4"/>
  <c r="AQ137" i="4"/>
  <c r="AP137" i="4"/>
  <c r="AO137" i="4"/>
  <c r="AN137" i="4"/>
  <c r="AM137" i="4"/>
  <c r="AL137" i="4"/>
  <c r="AK137" i="4"/>
  <c r="AJ137" i="4"/>
  <c r="AI137" i="4"/>
  <c r="AG137" i="4"/>
  <c r="AF137" i="4"/>
  <c r="AE137" i="4"/>
  <c r="AD137" i="4"/>
  <c r="AC137" i="4"/>
  <c r="AB137" i="4"/>
  <c r="AA137" i="4"/>
  <c r="Z137" i="4"/>
  <c r="Y137" i="4"/>
  <c r="X137" i="4"/>
  <c r="AR136" i="4"/>
  <c r="AQ136" i="4"/>
  <c r="AP136" i="4"/>
  <c r="AO136" i="4"/>
  <c r="AN136" i="4"/>
  <c r="AM136" i="4"/>
  <c r="AL136" i="4"/>
  <c r="AK136" i="4"/>
  <c r="AJ136" i="4"/>
  <c r="AI136" i="4"/>
  <c r="AG136" i="4"/>
  <c r="AF136" i="4"/>
  <c r="AE136" i="4"/>
  <c r="AD136" i="4"/>
  <c r="AC136" i="4"/>
  <c r="AB136" i="4"/>
  <c r="AA136" i="4"/>
  <c r="Z136" i="4"/>
  <c r="Y136" i="4"/>
  <c r="X136" i="4"/>
  <c r="AR134" i="4"/>
  <c r="AR130" i="4"/>
  <c r="AN129" i="4"/>
  <c r="AQ124" i="4"/>
  <c r="AM122" i="4"/>
  <c r="AI122" i="4"/>
  <c r="AL118" i="4"/>
  <c r="AQ117" i="4"/>
  <c r="AJ112" i="4"/>
  <c r="AQ111" i="4"/>
  <c r="AQ109" i="4"/>
  <c r="AP109" i="4"/>
  <c r="AL109" i="4"/>
  <c r="Y104" i="4"/>
  <c r="Y102" i="4"/>
  <c r="I67" i="4"/>
  <c r="I23" i="4"/>
  <c r="AR22" i="4"/>
  <c r="AQ22" i="4"/>
  <c r="AP22" i="4"/>
  <c r="AO22" i="4"/>
  <c r="AN22" i="4"/>
  <c r="AM22" i="4"/>
  <c r="AL22" i="4"/>
  <c r="AK22" i="4"/>
  <c r="AJ22" i="4"/>
  <c r="AI22" i="4"/>
  <c r="AG22" i="4"/>
  <c r="AF22" i="4"/>
  <c r="AE22" i="4"/>
  <c r="AD22" i="4"/>
  <c r="AC22" i="4"/>
  <c r="AB22" i="4"/>
  <c r="AA22" i="4"/>
  <c r="Z22" i="4"/>
  <c r="Y22" i="4"/>
  <c r="X22" i="4"/>
  <c r="T22" i="4"/>
  <c r="U22" i="4" s="1"/>
  <c r="P22" i="4"/>
  <c r="I22" i="4"/>
  <c r="AR21" i="4"/>
  <c r="AQ21" i="4"/>
  <c r="AP21" i="4"/>
  <c r="AO21" i="4"/>
  <c r="AN21" i="4"/>
  <c r="AM21" i="4"/>
  <c r="AL21" i="4"/>
  <c r="AK21" i="4"/>
  <c r="AJ21" i="4"/>
  <c r="AI21" i="4"/>
  <c r="AG21" i="4"/>
  <c r="AF21" i="4"/>
  <c r="AE21" i="4"/>
  <c r="AD21" i="4"/>
  <c r="AC21" i="4"/>
  <c r="AB21" i="4"/>
  <c r="AA21" i="4"/>
  <c r="Z21" i="4"/>
  <c r="Y21" i="4"/>
  <c r="X21" i="4"/>
  <c r="AR13" i="4"/>
  <c r="AQ13" i="4"/>
  <c r="AP13" i="4"/>
  <c r="AO13" i="4"/>
  <c r="AN13" i="4"/>
  <c r="AM13" i="4"/>
  <c r="AL13" i="4"/>
  <c r="AK13" i="4"/>
  <c r="AJ13" i="4"/>
  <c r="AI13" i="4"/>
  <c r="AG13" i="4"/>
  <c r="AF13" i="4"/>
  <c r="AE13" i="4"/>
  <c r="AD13" i="4"/>
  <c r="AC13" i="4"/>
  <c r="AB13" i="4"/>
  <c r="AA13" i="4"/>
  <c r="Z13" i="4"/>
  <c r="Y13" i="4"/>
  <c r="X13" i="4"/>
  <c r="AR12" i="4"/>
  <c r="AQ12" i="4"/>
  <c r="AP12" i="4"/>
  <c r="AO12" i="4"/>
  <c r="AN12" i="4"/>
  <c r="AM12" i="4"/>
  <c r="AL12" i="4"/>
  <c r="AK12" i="4"/>
  <c r="AJ12" i="4"/>
  <c r="AI12" i="4"/>
  <c r="AG12" i="4"/>
  <c r="AF12" i="4"/>
  <c r="AE12" i="4"/>
  <c r="AD12" i="4"/>
  <c r="AC12" i="4"/>
  <c r="AB12" i="4"/>
  <c r="AA12" i="4"/>
  <c r="Z12" i="4"/>
  <c r="Y12" i="4"/>
  <c r="X12" i="4"/>
  <c r="AR11" i="4"/>
  <c r="AQ11" i="4"/>
  <c r="AP11" i="4"/>
  <c r="AO11" i="4"/>
  <c r="AN11" i="4"/>
  <c r="AM11" i="4"/>
  <c r="AL11" i="4"/>
  <c r="AK11" i="4"/>
  <c r="AJ11" i="4"/>
  <c r="AI11" i="4"/>
  <c r="AG11" i="4"/>
  <c r="AF11" i="4"/>
  <c r="AE11" i="4"/>
  <c r="AD11" i="4"/>
  <c r="AC11" i="4"/>
  <c r="AB11" i="4"/>
  <c r="AA11" i="4"/>
  <c r="Z11" i="4"/>
  <c r="Y11" i="4"/>
  <c r="X11" i="4"/>
  <c r="AR10" i="4"/>
  <c r="AQ10" i="4"/>
  <c r="AP10" i="4"/>
  <c r="AO10" i="4"/>
  <c r="AN10" i="4"/>
  <c r="AM10" i="4"/>
  <c r="AL10" i="4"/>
  <c r="AK10" i="4"/>
  <c r="AJ10" i="4"/>
  <c r="AI10" i="4"/>
  <c r="AG10" i="4"/>
  <c r="AF10" i="4"/>
  <c r="AE10" i="4"/>
  <c r="AD10" i="4"/>
  <c r="AC10" i="4"/>
  <c r="AB10" i="4"/>
  <c r="AA10" i="4"/>
  <c r="Z10" i="4"/>
  <c r="Y10" i="4"/>
  <c r="X10" i="4"/>
  <c r="AR9" i="4"/>
  <c r="AQ9" i="4"/>
  <c r="AP9" i="4"/>
  <c r="AO9" i="4"/>
  <c r="AN9" i="4"/>
  <c r="AM9" i="4"/>
  <c r="AL9" i="4"/>
  <c r="AK9" i="4"/>
  <c r="AJ9" i="4"/>
  <c r="AI9" i="4"/>
  <c r="AG9" i="4"/>
  <c r="AF9" i="4"/>
  <c r="AE9" i="4"/>
  <c r="AD9" i="4"/>
  <c r="AC9" i="4"/>
  <c r="AB9" i="4"/>
  <c r="AA9" i="4"/>
  <c r="Z9" i="4"/>
  <c r="Y9" i="4"/>
  <c r="X9" i="4"/>
  <c r="AR8" i="4"/>
  <c r="AQ8" i="4"/>
  <c r="AP8" i="4"/>
  <c r="AO8" i="4"/>
  <c r="AN8" i="4"/>
  <c r="AM8" i="4"/>
  <c r="AL8" i="4"/>
  <c r="AK8" i="4"/>
  <c r="AJ8" i="4"/>
  <c r="AI8" i="4"/>
  <c r="AG8" i="4"/>
  <c r="AF8" i="4"/>
  <c r="AE8" i="4"/>
  <c r="AD8" i="4"/>
  <c r="AC8" i="4"/>
  <c r="AB8" i="4"/>
  <c r="AA8" i="4"/>
  <c r="Z8" i="4"/>
  <c r="Y8" i="4"/>
  <c r="X8" i="4"/>
  <c r="AR7" i="4"/>
  <c r="AQ7" i="4"/>
  <c r="AP7" i="4"/>
  <c r="AO7" i="4"/>
  <c r="AN7" i="4"/>
  <c r="AM7" i="4"/>
  <c r="AL7" i="4"/>
  <c r="AK7" i="4"/>
  <c r="AJ7" i="4"/>
  <c r="AI7" i="4"/>
  <c r="AG7" i="4"/>
  <c r="AF7" i="4"/>
  <c r="AE7" i="4"/>
  <c r="AD7" i="4"/>
  <c r="AC7" i="4"/>
  <c r="AB7" i="4"/>
  <c r="AA7" i="4"/>
  <c r="Z7" i="4"/>
  <c r="Y7" i="4"/>
  <c r="X7" i="4"/>
  <c r="AR6" i="4"/>
  <c r="AQ6" i="4"/>
  <c r="AP6" i="4"/>
  <c r="AO6" i="4"/>
  <c r="AN6" i="4"/>
  <c r="AM6" i="4"/>
  <c r="AL6" i="4"/>
  <c r="AK6" i="4"/>
  <c r="AJ6" i="4"/>
  <c r="AI6" i="4"/>
  <c r="AG6" i="4"/>
  <c r="AF6" i="4"/>
  <c r="AE6" i="4"/>
  <c r="AD6" i="4"/>
  <c r="AC6" i="4"/>
  <c r="AB6" i="4"/>
  <c r="AA6" i="4"/>
  <c r="Z6" i="4"/>
  <c r="Y6" i="4"/>
  <c r="X6" i="4"/>
  <c r="AR5" i="4"/>
  <c r="AQ5" i="4"/>
  <c r="AP5" i="4"/>
  <c r="AO5" i="4"/>
  <c r="AN5" i="4"/>
  <c r="AM5" i="4"/>
  <c r="AL5" i="4"/>
  <c r="AK5" i="4"/>
  <c r="AJ5" i="4"/>
  <c r="AI5" i="4"/>
  <c r="AG5" i="4"/>
  <c r="AF5" i="4"/>
  <c r="AE5" i="4"/>
  <c r="AD5" i="4"/>
  <c r="AB5" i="4"/>
  <c r="AA5" i="4"/>
  <c r="Z5" i="4"/>
  <c r="Y5" i="4"/>
  <c r="F56" i="4" l="1"/>
  <c r="Y24" i="4"/>
  <c r="F45" i="4"/>
  <c r="F34" i="4" s="1"/>
  <c r="AJ132" i="4"/>
  <c r="Z132" i="4"/>
  <c r="AD132" i="4"/>
  <c r="AJ116" i="4"/>
  <c r="AL132" i="4"/>
  <c r="AE135" i="4"/>
  <c r="AP113" i="4"/>
  <c r="Y132" i="4"/>
  <c r="AC132" i="4"/>
  <c r="AG109" i="4"/>
  <c r="AM132" i="4"/>
  <c r="AI109" i="4"/>
  <c r="AP117" i="4"/>
  <c r="AM126" i="4"/>
  <c r="AD110" i="4"/>
  <c r="AG110" i="4"/>
  <c r="AL128" i="4"/>
  <c r="AM110" i="4"/>
  <c r="AP132" i="4"/>
  <c r="AP128" i="4"/>
  <c r="Y109" i="4"/>
  <c r="AC117" i="4"/>
  <c r="AQ128" i="4"/>
  <c r="Z115" i="4"/>
  <c r="AJ128" i="4"/>
  <c r="AL110" i="4"/>
  <c r="Z117" i="4"/>
  <c r="Z109" i="4"/>
  <c r="AL111" i="4"/>
  <c r="AD117" i="4"/>
  <c r="AN133" i="4"/>
  <c r="AI126" i="4"/>
  <c r="AP110" i="4"/>
  <c r="AC109" i="4"/>
  <c r="AM111" i="4"/>
  <c r="AG117" i="4"/>
  <c r="AJ124" i="4"/>
  <c r="AP133" i="4"/>
  <c r="AI110" i="4"/>
  <c r="AI117" i="4"/>
  <c r="AQ133" i="4"/>
  <c r="AG67" i="4"/>
  <c r="AI67" i="4"/>
  <c r="AI113" i="4"/>
  <c r="AD130" i="4"/>
  <c r="Z116" i="4"/>
  <c r="AC121" i="4"/>
  <c r="AM130" i="4"/>
  <c r="Z125" i="4"/>
  <c r="AD134" i="4"/>
  <c r="AK23" i="4"/>
  <c r="Z112" i="4"/>
  <c r="AC120" i="4"/>
  <c r="AD125" i="4"/>
  <c r="Z129" i="4"/>
  <c r="AN23" i="4"/>
  <c r="Y111" i="4"/>
  <c r="AP116" i="4"/>
  <c r="AD120" i="4"/>
  <c r="AI125" i="4"/>
  <c r="AD112" i="4"/>
  <c r="AM120" i="4"/>
  <c r="AC124" i="4"/>
  <c r="AQ125" i="4"/>
  <c r="Y128" i="4"/>
  <c r="AI129" i="4"/>
  <c r="Y133" i="4"/>
  <c r="Y110" i="4"/>
  <c r="AG111" i="4"/>
  <c r="AM112" i="4"/>
  <c r="AM118" i="4"/>
  <c r="AP120" i="4"/>
  <c r="AD124" i="4"/>
  <c r="Z128" i="4"/>
  <c r="AP129" i="4"/>
  <c r="Z133" i="4"/>
  <c r="Y116" i="4"/>
  <c r="AQ113" i="4"/>
  <c r="AD121" i="4"/>
  <c r="Y125" i="4"/>
  <c r="AD116" i="4"/>
  <c r="AI121" i="4"/>
  <c r="Y112" i="4"/>
  <c r="AP121" i="4"/>
  <c r="AC125" i="4"/>
  <c r="Y129" i="4"/>
  <c r="AC112" i="4"/>
  <c r="Y124" i="4"/>
  <c r="AC129" i="4"/>
  <c r="Z111" i="4"/>
  <c r="AQ116" i="4"/>
  <c r="AI118" i="4"/>
  <c r="AL120" i="4"/>
  <c r="Z124" i="4"/>
  <c r="AD129" i="4"/>
  <c r="AC111" i="4"/>
  <c r="AL112" i="4"/>
  <c r="AC110" i="4"/>
  <c r="AI111" i="4"/>
  <c r="AP112" i="4"/>
  <c r="AQ120" i="4"/>
  <c r="AG122" i="4"/>
  <c r="AL124" i="4"/>
  <c r="AC128" i="4"/>
  <c r="AQ129" i="4"/>
  <c r="AC133" i="4"/>
  <c r="Y121" i="4"/>
  <c r="AC130" i="4"/>
  <c r="Z121" i="4"/>
  <c r="AI130" i="4"/>
  <c r="AC116" i="4"/>
  <c r="AC134" i="4"/>
  <c r="Y120" i="4"/>
  <c r="AL116" i="4"/>
  <c r="Z120" i="4"/>
  <c r="AM23" i="4"/>
  <c r="AM116" i="4"/>
  <c r="AQ121" i="4"/>
  <c r="AP125" i="4"/>
  <c r="AQ112" i="4"/>
  <c r="AM124" i="4"/>
  <c r="AD128" i="4"/>
  <c r="AD133" i="4"/>
  <c r="AJ23" i="4"/>
  <c r="AF67" i="4"/>
  <c r="X23" i="4"/>
  <c r="AD23" i="4"/>
  <c r="AB67" i="4"/>
  <c r="AB23" i="4"/>
  <c r="AE23" i="4"/>
  <c r="AC67" i="4"/>
  <c r="AO23" i="4"/>
  <c r="AP23" i="4"/>
  <c r="AQ23" i="4"/>
  <c r="AR23" i="4"/>
  <c r="Y23" i="4"/>
  <c r="AA67" i="4"/>
  <c r="AF23" i="4"/>
  <c r="AD67" i="4"/>
  <c r="Z23" i="4"/>
  <c r="AC23" i="4"/>
  <c r="AI23" i="4"/>
  <c r="AE67" i="4"/>
  <c r="AN105" i="4"/>
  <c r="AK105" i="4"/>
  <c r="AJ105" i="4"/>
  <c r="AF105" i="4"/>
  <c r="AE105" i="4"/>
  <c r="AB105" i="4"/>
  <c r="AR105" i="4"/>
  <c r="AA105" i="4"/>
  <c r="AO105" i="4"/>
  <c r="X105" i="4"/>
  <c r="AQ105" i="4"/>
  <c r="AP105" i="4"/>
  <c r="AM105" i="4"/>
  <c r="AL105" i="4"/>
  <c r="AI105" i="4"/>
  <c r="AG105" i="4"/>
  <c r="Z105" i="4"/>
  <c r="AD105" i="4"/>
  <c r="AC105" i="4"/>
  <c r="AE103" i="4"/>
  <c r="AB103" i="4"/>
  <c r="AR103" i="4"/>
  <c r="AA103" i="4"/>
  <c r="AO103" i="4"/>
  <c r="X103" i="4"/>
  <c r="AN103" i="4"/>
  <c r="AK103" i="4"/>
  <c r="AJ103" i="4"/>
  <c r="AF103" i="4"/>
  <c r="AQ103" i="4"/>
  <c r="AP103" i="4"/>
  <c r="AM103" i="4"/>
  <c r="AL103" i="4"/>
  <c r="AI103" i="4"/>
  <c r="AG103" i="4"/>
  <c r="Z103" i="4"/>
  <c r="AD103" i="4"/>
  <c r="AC103" i="4"/>
  <c r="Y107" i="4"/>
  <c r="Y115" i="4"/>
  <c r="AE131" i="4"/>
  <c r="AD131" i="4"/>
  <c r="AC131" i="4"/>
  <c r="AB131" i="4"/>
  <c r="AR131" i="4"/>
  <c r="AA131" i="4"/>
  <c r="AP131" i="4"/>
  <c r="Y131" i="4"/>
  <c r="AO131" i="4"/>
  <c r="X131" i="4"/>
  <c r="AN131" i="4"/>
  <c r="AL131" i="4"/>
  <c r="AK131" i="4"/>
  <c r="AJ131" i="4"/>
  <c r="AF131" i="4"/>
  <c r="AI131" i="4"/>
  <c r="AQ131" i="4"/>
  <c r="AM131" i="4"/>
  <c r="Y105" i="4"/>
  <c r="AJ108" i="4"/>
  <c r="AI108" i="4"/>
  <c r="AF108" i="4"/>
  <c r="AE108" i="4"/>
  <c r="AB108" i="4"/>
  <c r="AR108" i="4"/>
  <c r="AA108" i="4"/>
  <c r="AO108" i="4"/>
  <c r="X108" i="4"/>
  <c r="AN108" i="4"/>
  <c r="AK108" i="4"/>
  <c r="AQ108" i="4"/>
  <c r="AP108" i="4"/>
  <c r="AM108" i="4"/>
  <c r="AL108" i="4"/>
  <c r="AC108" i="4"/>
  <c r="AG108" i="4"/>
  <c r="AD108" i="4"/>
  <c r="Y103" i="4"/>
  <c r="AR106" i="4"/>
  <c r="AA106" i="4"/>
  <c r="AO106" i="4"/>
  <c r="X106" i="4"/>
  <c r="AN106" i="4"/>
  <c r="AK106" i="4"/>
  <c r="AJ106" i="4"/>
  <c r="AF106" i="4"/>
  <c r="AE106" i="4"/>
  <c r="AB106" i="4"/>
  <c r="AQ106" i="4"/>
  <c r="AP106" i="4"/>
  <c r="AM106" i="4"/>
  <c r="AL106" i="4"/>
  <c r="AI106" i="4"/>
  <c r="AG106" i="4"/>
  <c r="Z106" i="4"/>
  <c r="AD106" i="4"/>
  <c r="AC106" i="4"/>
  <c r="AE119" i="4"/>
  <c r="AD119" i="4"/>
  <c r="AC119" i="4"/>
  <c r="AB119" i="4"/>
  <c r="AR119" i="4"/>
  <c r="AA119" i="4"/>
  <c r="AP119" i="4"/>
  <c r="AO119" i="4"/>
  <c r="X119" i="4"/>
  <c r="AN119" i="4"/>
  <c r="AK119" i="4"/>
  <c r="AJ119" i="4"/>
  <c r="AF119" i="4"/>
  <c r="AQ119" i="4"/>
  <c r="AM119" i="4"/>
  <c r="AL119" i="4"/>
  <c r="AI119" i="4"/>
  <c r="AG119" i="4"/>
  <c r="Z119" i="4"/>
  <c r="Y119" i="4"/>
  <c r="AE107" i="4"/>
  <c r="AD107" i="4"/>
  <c r="AB107" i="4"/>
  <c r="AR107" i="4"/>
  <c r="AA107" i="4"/>
  <c r="AO107" i="4"/>
  <c r="X107" i="4"/>
  <c r="AN107" i="4"/>
  <c r="AK107" i="4"/>
  <c r="AJ107" i="4"/>
  <c r="AF107" i="4"/>
  <c r="AQ107" i="4"/>
  <c r="AP107" i="4"/>
  <c r="AM107" i="4"/>
  <c r="AL107" i="4"/>
  <c r="AI107" i="4"/>
  <c r="Z107" i="4"/>
  <c r="AG107" i="4"/>
  <c r="AC107" i="4"/>
  <c r="AE115" i="4"/>
  <c r="AD115" i="4"/>
  <c r="AC115" i="4"/>
  <c r="AB115" i="4"/>
  <c r="AR115" i="4"/>
  <c r="AA115" i="4"/>
  <c r="AO115" i="4"/>
  <c r="X115" i="4"/>
  <c r="AN115" i="4"/>
  <c r="AK115" i="4"/>
  <c r="AJ115" i="4"/>
  <c r="AF115" i="4"/>
  <c r="AQ115" i="4"/>
  <c r="AP115" i="4"/>
  <c r="AM115" i="4"/>
  <c r="AG115" i="4"/>
  <c r="AL115" i="4"/>
  <c r="AI115" i="4"/>
  <c r="Z131" i="4"/>
  <c r="AJ104" i="4"/>
  <c r="AF104" i="4"/>
  <c r="AE104" i="4"/>
  <c r="AB104" i="4"/>
  <c r="AR104" i="4"/>
  <c r="AA104" i="4"/>
  <c r="AO104" i="4"/>
  <c r="X104" i="4"/>
  <c r="AN104" i="4"/>
  <c r="AK104" i="4"/>
  <c r="AQ104" i="4"/>
  <c r="AP104" i="4"/>
  <c r="AM104" i="4"/>
  <c r="AL104" i="4"/>
  <c r="AI104" i="4"/>
  <c r="AG104" i="4"/>
  <c r="Z104" i="4"/>
  <c r="AD104" i="4"/>
  <c r="AC104" i="4"/>
  <c r="AG131" i="4"/>
  <c r="AR102" i="4"/>
  <c r="AA102" i="4"/>
  <c r="AO102" i="4"/>
  <c r="X102" i="4"/>
  <c r="AN102" i="4"/>
  <c r="AK102" i="4"/>
  <c r="AJ102" i="4"/>
  <c r="AF102" i="4"/>
  <c r="AE102" i="4"/>
  <c r="AB102" i="4"/>
  <c r="AQ102" i="4"/>
  <c r="AP102" i="4"/>
  <c r="AM102" i="4"/>
  <c r="AL102" i="4"/>
  <c r="AI102" i="4"/>
  <c r="AG102" i="4"/>
  <c r="Z102" i="4"/>
  <c r="AD102" i="4"/>
  <c r="AC102" i="4"/>
  <c r="Z108" i="4"/>
  <c r="AR114" i="4"/>
  <c r="AA114" i="4"/>
  <c r="AQ114" i="4"/>
  <c r="Z114" i="4"/>
  <c r="AP114" i="4"/>
  <c r="Y114" i="4"/>
  <c r="AO114" i="4"/>
  <c r="X114" i="4"/>
  <c r="AN114" i="4"/>
  <c r="AK114" i="4"/>
  <c r="AJ114" i="4"/>
  <c r="AF114" i="4"/>
  <c r="AE114" i="4"/>
  <c r="AB114" i="4"/>
  <c r="AM114" i="4"/>
  <c r="AL114" i="4"/>
  <c r="AI114" i="4"/>
  <c r="AG114" i="4"/>
  <c r="AD114" i="4"/>
  <c r="AC114" i="4"/>
  <c r="AE123" i="4"/>
  <c r="AD123" i="4"/>
  <c r="AC123" i="4"/>
  <c r="AB123" i="4"/>
  <c r="AR123" i="4"/>
  <c r="AA123" i="4"/>
  <c r="AP123" i="4"/>
  <c r="Y123" i="4"/>
  <c r="AO123" i="4"/>
  <c r="X123" i="4"/>
  <c r="AN123" i="4"/>
  <c r="AK123" i="4"/>
  <c r="AJ123" i="4"/>
  <c r="AF123" i="4"/>
  <c r="AQ123" i="4"/>
  <c r="AM123" i="4"/>
  <c r="AL123" i="4"/>
  <c r="AI123" i="4"/>
  <c r="AG123" i="4"/>
  <c r="Z123" i="4"/>
  <c r="AE127" i="4"/>
  <c r="AD127" i="4"/>
  <c r="AC127" i="4"/>
  <c r="AB127" i="4"/>
  <c r="AR127" i="4"/>
  <c r="AA127" i="4"/>
  <c r="AP127" i="4"/>
  <c r="Y127" i="4"/>
  <c r="AO127" i="4"/>
  <c r="X127" i="4"/>
  <c r="AN127" i="4"/>
  <c r="AK127" i="4"/>
  <c r="AJ127" i="4"/>
  <c r="AF127" i="4"/>
  <c r="AQ127" i="4"/>
  <c r="AM127" i="4"/>
  <c r="AL127" i="4"/>
  <c r="AI127" i="4"/>
  <c r="AG127" i="4"/>
  <c r="Z127" i="4"/>
  <c r="Y108" i="4"/>
  <c r="Y106" i="4"/>
  <c r="AN113" i="4"/>
  <c r="AM113" i="4"/>
  <c r="AL113" i="4"/>
  <c r="AK113" i="4"/>
  <c r="AJ113" i="4"/>
  <c r="AF113" i="4"/>
  <c r="AE113" i="4"/>
  <c r="AB113" i="4"/>
  <c r="AR113" i="4"/>
  <c r="AA113" i="4"/>
  <c r="AO113" i="4"/>
  <c r="X113" i="4"/>
  <c r="AR118" i="4"/>
  <c r="AA118" i="4"/>
  <c r="AQ118" i="4"/>
  <c r="Z118" i="4"/>
  <c r="AP118" i="4"/>
  <c r="Y118" i="4"/>
  <c r="AO118" i="4"/>
  <c r="X118" i="4"/>
  <c r="AN118" i="4"/>
  <c r="AK118" i="4"/>
  <c r="AJ118" i="4"/>
  <c r="AF118" i="4"/>
  <c r="AE118" i="4"/>
  <c r="AB118" i="4"/>
  <c r="AN67" i="4"/>
  <c r="AK67" i="4"/>
  <c r="AJ67" i="4"/>
  <c r="AO67" i="4"/>
  <c r="X67" i="4"/>
  <c r="AM67" i="4"/>
  <c r="AR126" i="4"/>
  <c r="AA126" i="4"/>
  <c r="AQ126" i="4"/>
  <c r="Z126" i="4"/>
  <c r="AP126" i="4"/>
  <c r="Y126" i="4"/>
  <c r="AO126" i="4"/>
  <c r="X126" i="4"/>
  <c r="AN126" i="4"/>
  <c r="AL126" i="4"/>
  <c r="AK126" i="4"/>
  <c r="AJ126" i="4"/>
  <c r="AF126" i="4"/>
  <c r="AE126" i="4"/>
  <c r="AB126" i="4"/>
  <c r="AP67" i="4"/>
  <c r="AR122" i="4"/>
  <c r="AA122" i="4"/>
  <c r="AQ122" i="4"/>
  <c r="Z122" i="4"/>
  <c r="AP122" i="4"/>
  <c r="Y122" i="4"/>
  <c r="AO122" i="4"/>
  <c r="X122" i="4"/>
  <c r="AN122" i="4"/>
  <c r="AL122" i="4"/>
  <c r="AK122" i="4"/>
  <c r="AJ122" i="4"/>
  <c r="AF122" i="4"/>
  <c r="AE122" i="4"/>
  <c r="AB122" i="4"/>
  <c r="AG23" i="4"/>
  <c r="AQ67" i="4"/>
  <c r="AE111" i="4"/>
  <c r="AD111" i="4"/>
  <c r="AB111" i="4"/>
  <c r="AR111" i="4"/>
  <c r="AA111" i="4"/>
  <c r="AO111" i="4"/>
  <c r="X111" i="4"/>
  <c r="AN111" i="4"/>
  <c r="AK111" i="4"/>
  <c r="AJ111" i="4"/>
  <c r="AF111" i="4"/>
  <c r="Y113" i="4"/>
  <c r="AR67" i="4"/>
  <c r="Z113" i="4"/>
  <c r="AN117" i="4"/>
  <c r="AM117" i="4"/>
  <c r="AL117" i="4"/>
  <c r="AK117" i="4"/>
  <c r="AJ117" i="4"/>
  <c r="AF117" i="4"/>
  <c r="AE117" i="4"/>
  <c r="AB117" i="4"/>
  <c r="AR117" i="4"/>
  <c r="AA117" i="4"/>
  <c r="AO117" i="4"/>
  <c r="X117" i="4"/>
  <c r="AR110" i="4"/>
  <c r="AA110" i="4"/>
  <c r="AQ110" i="4"/>
  <c r="Z110" i="4"/>
  <c r="AO110" i="4"/>
  <c r="X110" i="4"/>
  <c r="AN110" i="4"/>
  <c r="AK110" i="4"/>
  <c r="AJ110" i="4"/>
  <c r="AF110" i="4"/>
  <c r="AE110" i="4"/>
  <c r="AB110" i="4"/>
  <c r="AC113" i="4"/>
  <c r="AC118" i="4"/>
  <c r="AC126" i="4"/>
  <c r="AD113" i="4"/>
  <c r="AD118" i="4"/>
  <c r="AC122" i="4"/>
  <c r="AD126" i="4"/>
  <c r="Z67" i="4"/>
  <c r="AN109" i="4"/>
  <c r="AM109" i="4"/>
  <c r="AK109" i="4"/>
  <c r="AJ109" i="4"/>
  <c r="AF109" i="4"/>
  <c r="AE109" i="4"/>
  <c r="AB109" i="4"/>
  <c r="AR109" i="4"/>
  <c r="AA109" i="4"/>
  <c r="AO109" i="4"/>
  <c r="X109" i="4"/>
  <c r="AG113" i="4"/>
  <c r="Y117" i="4"/>
  <c r="AG118" i="4"/>
  <c r="AD122" i="4"/>
  <c r="AG126" i="4"/>
  <c r="AK112" i="4"/>
  <c r="AK116" i="4"/>
  <c r="AK120" i="4"/>
  <c r="X121" i="4"/>
  <c r="AO121" i="4"/>
  <c r="AK124" i="4"/>
  <c r="X125" i="4"/>
  <c r="AO125" i="4"/>
  <c r="AK128" i="4"/>
  <c r="X129" i="4"/>
  <c r="AO129" i="4"/>
  <c r="AB130" i="4"/>
  <c r="AK132" i="4"/>
  <c r="X133" i="4"/>
  <c r="AO133" i="4"/>
  <c r="AB134" i="4"/>
  <c r="AF135" i="4"/>
  <c r="AG135" i="4"/>
  <c r="AI135" i="4"/>
  <c r="AN112" i="4"/>
  <c r="AN116" i="4"/>
  <c r="AN120" i="4"/>
  <c r="AA121" i="4"/>
  <c r="AR121" i="4"/>
  <c r="AN124" i="4"/>
  <c r="AA125" i="4"/>
  <c r="AR125" i="4"/>
  <c r="AN128" i="4"/>
  <c r="AA129" i="4"/>
  <c r="AR129" i="4"/>
  <c r="AE130" i="4"/>
  <c r="AN132" i="4"/>
  <c r="AA133" i="4"/>
  <c r="AR133" i="4"/>
  <c r="AE134" i="4"/>
  <c r="AJ135" i="4"/>
  <c r="X112" i="4"/>
  <c r="AO112" i="4"/>
  <c r="X116" i="4"/>
  <c r="AO116" i="4"/>
  <c r="X120" i="4"/>
  <c r="AO120" i="4"/>
  <c r="AB121" i="4"/>
  <c r="X124" i="4"/>
  <c r="AO124" i="4"/>
  <c r="AB125" i="4"/>
  <c r="X128" i="4"/>
  <c r="AO128" i="4"/>
  <c r="AB129" i="4"/>
  <c r="AF130" i="4"/>
  <c r="X132" i="4"/>
  <c r="AO132" i="4"/>
  <c r="AB133" i="4"/>
  <c r="AF134" i="4"/>
  <c r="AK135" i="4"/>
  <c r="AG130" i="4"/>
  <c r="AG134" i="4"/>
  <c r="AL135" i="4"/>
  <c r="AI134" i="4"/>
  <c r="AM135" i="4"/>
  <c r="AA112" i="4"/>
  <c r="AR112" i="4"/>
  <c r="AA116" i="4"/>
  <c r="AR116" i="4"/>
  <c r="AA120" i="4"/>
  <c r="AR120" i="4"/>
  <c r="AE121" i="4"/>
  <c r="AA124" i="4"/>
  <c r="AR124" i="4"/>
  <c r="AE125" i="4"/>
  <c r="AA128" i="4"/>
  <c r="AR128" i="4"/>
  <c r="AE129" i="4"/>
  <c r="AJ130" i="4"/>
  <c r="AA132" i="4"/>
  <c r="AR132" i="4"/>
  <c r="AE133" i="4"/>
  <c r="AJ134" i="4"/>
  <c r="AN135" i="4"/>
  <c r="AB112" i="4"/>
  <c r="AB116" i="4"/>
  <c r="AB120" i="4"/>
  <c r="AF121" i="4"/>
  <c r="AB124" i="4"/>
  <c r="AF125" i="4"/>
  <c r="AB128" i="4"/>
  <c r="AF129" i="4"/>
  <c r="AK130" i="4"/>
  <c r="AB132" i="4"/>
  <c r="AF133" i="4"/>
  <c r="AK134" i="4"/>
  <c r="X135" i="4"/>
  <c r="AO135" i="4"/>
  <c r="AG121" i="4"/>
  <c r="AG125" i="4"/>
  <c r="AG129" i="4"/>
  <c r="AL130" i="4"/>
  <c r="AG133" i="4"/>
  <c r="AL134" i="4"/>
  <c r="Y135" i="4"/>
  <c r="AP135" i="4"/>
  <c r="AI133" i="4"/>
  <c r="AM134" i="4"/>
  <c r="Z135" i="4"/>
  <c r="AQ135" i="4"/>
  <c r="AE112" i="4"/>
  <c r="AE116" i="4"/>
  <c r="AE120" i="4"/>
  <c r="AJ121" i="4"/>
  <c r="AE124" i="4"/>
  <c r="AJ125" i="4"/>
  <c r="AE128" i="4"/>
  <c r="AJ129" i="4"/>
  <c r="AN130" i="4"/>
  <c r="AE132" i="4"/>
  <c r="AJ133" i="4"/>
  <c r="AN134" i="4"/>
  <c r="AA135" i="4"/>
  <c r="AR135" i="4"/>
  <c r="AF112" i="4"/>
  <c r="AF116" i="4"/>
  <c r="AF120" i="4"/>
  <c r="AK121" i="4"/>
  <c r="AF124" i="4"/>
  <c r="AK125" i="4"/>
  <c r="AF128" i="4"/>
  <c r="AK129" i="4"/>
  <c r="X130" i="4"/>
  <c r="AO130" i="4"/>
  <c r="AF132" i="4"/>
  <c r="AK133" i="4"/>
  <c r="X134" i="4"/>
  <c r="AO134" i="4"/>
  <c r="AB135" i="4"/>
  <c r="AG112" i="4"/>
  <c r="AG116" i="4"/>
  <c r="AG120" i="4"/>
  <c r="AL121" i="4"/>
  <c r="AG124" i="4"/>
  <c r="AL125" i="4"/>
  <c r="AG128" i="4"/>
  <c r="AL129" i="4"/>
  <c r="Y130" i="4"/>
  <c r="AP130" i="4"/>
  <c r="AG132" i="4"/>
  <c r="AL133" i="4"/>
  <c r="Y134" i="4"/>
  <c r="AP134" i="4"/>
  <c r="AC135" i="4"/>
  <c r="AI112" i="4"/>
  <c r="AI116" i="4"/>
  <c r="AI120" i="4"/>
  <c r="AM121" i="4"/>
  <c r="AI124" i="4"/>
  <c r="AM125" i="4"/>
  <c r="AI128" i="4"/>
  <c r="AM129" i="4"/>
  <c r="Z130" i="4"/>
  <c r="AQ130" i="4"/>
  <c r="AI132" i="4"/>
  <c r="AM133" i="4"/>
  <c r="Z134" i="4"/>
  <c r="AQ134" i="4"/>
  <c r="AD135" i="4"/>
  <c r="AA130" i="4"/>
  <c r="AA134" i="4"/>
  <c r="AJ3" i="4" l="1"/>
  <c r="AI3" i="4"/>
  <c r="AN3" i="4"/>
  <c r="X3" i="4"/>
  <c r="AQ3" i="4"/>
  <c r="AC3" i="4"/>
  <c r="AL3" i="4"/>
  <c r="AF3" i="4"/>
  <c r="AP3" i="4"/>
  <c r="AD3" i="4"/>
  <c r="AB3" i="4"/>
  <c r="AM3" i="4"/>
  <c r="Z3" i="4"/>
  <c r="AR3" i="4"/>
  <c r="AK3" i="4"/>
  <c r="AO3" i="4"/>
  <c r="AG3" i="4"/>
  <c r="AE3" i="4" l="1"/>
  <c r="AH4" i="4"/>
  <c r="AA23" i="4"/>
  <c r="Y67" i="4"/>
  <c r="F23" i="4" l="1"/>
  <c r="AA3" i="4"/>
  <c r="Y3" i="4"/>
  <c r="W4" i="4" l="1"/>
  <c r="V1" i="4" s="1"/>
</calcChain>
</file>

<file path=xl/sharedStrings.xml><?xml version="1.0" encoding="utf-8"?>
<sst xmlns="http://schemas.openxmlformats.org/spreadsheetml/2006/main" count="245" uniqueCount="46">
  <si>
    <t>Поз.</t>
  </si>
  <si>
    <t>Обозначение</t>
  </si>
  <si>
    <t>Наименование</t>
  </si>
  <si>
    <t>Кол.</t>
  </si>
  <si>
    <t>Стена внутренняя</t>
  </si>
  <si>
    <t>Изделия закладные</t>
  </si>
  <si>
    <t>ГНЗ-3</t>
  </si>
  <si>
    <t>Монтажная гильза</t>
  </si>
  <si>
    <t>ТЭЛ-2</t>
  </si>
  <si>
    <t>Труба ПНД D=25мм</t>
  </si>
  <si>
    <t>ТЭЛ-4</t>
  </si>
  <si>
    <t>ЭЛК-2</t>
  </si>
  <si>
    <t>Коробка распр.</t>
  </si>
  <si>
    <t>Изделия арматурные</t>
  </si>
  <si>
    <t>ГОСТ Р 52544-2006</t>
  </si>
  <si>
    <t>Детали</t>
  </si>
  <si>
    <t>Материалы</t>
  </si>
  <si>
    <t>A500C</t>
  </si>
  <si>
    <t>A240</t>
  </si>
  <si>
    <t>HEGEL KP1301 ЭЛК-2</t>
  </si>
  <si>
    <t>- ГНЗ-3</t>
  </si>
  <si>
    <t>Ruvini art. 82500 ТЭЛ-2 L = 119 мм</t>
  </si>
  <si>
    <t>Ruvini art. 82500 ТЭЛ-4 L = 145 мм</t>
  </si>
  <si>
    <t>ТЭЛ-8</t>
  </si>
  <si>
    <t>Ruvini art. 82500 ТЭЛ-8 L = 919 мм</t>
  </si>
  <si>
    <t>ТЭЛ-10</t>
  </si>
  <si>
    <t>Ruvini art. 82500 ТЭЛ-10 L = 336 мм</t>
  </si>
  <si>
    <t>ЭЛК-4</t>
  </si>
  <si>
    <t>HEGEL KP1301 ЭЛК-4</t>
  </si>
  <si>
    <t>Масса ед., кг.</t>
  </si>
  <si>
    <t>Приме- чание</t>
  </si>
  <si>
    <t xml:space="preserve">БСТ B25 F100 W4 </t>
  </si>
  <si>
    <t>ПСВ-22н-22</t>
  </si>
  <si>
    <t>ТЭЛ-23</t>
  </si>
  <si>
    <t>Ruvini art. 82500 ТЭЛ-23 L = 135 мм</t>
  </si>
  <si>
    <t>ТЭЛ-25</t>
  </si>
  <si>
    <t>Ruvini art. 82500 ТЭЛ-25 L = 635 мм</t>
  </si>
  <si>
    <t>Сетка АПВ-545</t>
  </si>
  <si>
    <t>Сетка АПВ-574</t>
  </si>
  <si>
    <t>8 A500C L = 770</t>
  </si>
  <si>
    <t>2.438 м3</t>
  </si>
  <si>
    <t>ПСВ-22н-421</t>
  </si>
  <si>
    <t>Сетка АПН-526</t>
  </si>
  <si>
    <t>Сетка АПН-529</t>
  </si>
  <si>
    <t>Для удаления знаков "переноса строки" в окне "Заменить" нажать сочетание клавиш CTRL+J, заменить на пробел</t>
  </si>
  <si>
    <t>Для удаления знаков " / *** " и " / 200 " заменять текст " / *** "  на пробел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</si>
</sst>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7"/>
      <color theme="1"/>
      <name val="CS Standard"/>
      <family val="2"/>
      <charset val="204"/>
    </font>
    <font>
      <sz val="7"/>
      <color theme="1"/>
      <name val="Calibri"/>
      <family val="2"/>
      <charset val="204"/>
      <scheme val="minor"/>
    </font>
    <font>
      <sz val="7.1"/>
      <color theme="1"/>
      <name val="CS Standard"/>
      <family val="2"/>
      <charset val="204"/>
    </font>
    <font>
      <sz val="6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5.4"/>
      <color theme="1"/>
      <name val="CS Standard"/>
      <family val="2"/>
      <charset val="204"/>
    </font>
    <font>
      <sz val="4.8499999999999996"/>
      <color theme="1"/>
      <name val="CS Standard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4" fillId="0" borderId="4" xfId="0" applyFont="1" applyBorder="1" applyAlignment="1">
      <alignment horizontal="center" vertical="center"/>
    </xf>
    <xf numFmtId="0" fontId="5" fillId="0" borderId="0" xfId="0" applyFont="1"/>
    <xf numFmtId="0" fontId="5" fillId="0" borderId="4" xfId="0" applyFont="1" applyBorder="1" applyAlignment="1">
      <alignment horizontal="center" vertical="center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6" xfId="0" applyFont="1" applyFill="1" applyBorder="1"/>
    <xf numFmtId="0" fontId="5" fillId="0" borderId="6" xfId="0" applyFont="1" applyBorder="1"/>
    <xf numFmtId="0" fontId="2" fillId="0" borderId="4" xfId="0" applyFont="1" applyBorder="1"/>
    <xf numFmtId="0" fontId="2" fillId="0" borderId="1" xfId="0" applyFont="1" applyBorder="1"/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6" borderId="0" xfId="0" applyFont="1" applyFill="1" applyAlignment="1">
      <alignment horizontal="left" vertical="center" wrapText="1"/>
    </xf>
    <xf numFmtId="0" fontId="2" fillId="0" borderId="0" xfId="0" applyFont="1"/>
    <xf numFmtId="0" fontId="1" fillId="7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" fillId="9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0" fillId="10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/>
    <xf numFmtId="0" fontId="6" fillId="0" borderId="4" xfId="0" applyFont="1" applyBorder="1" applyAlignment="1">
      <alignment horizontal="left" vertical="top" wrapText="1"/>
    </xf>
    <xf numFmtId="0" fontId="0" fillId="0" borderId="4" xfId="0" applyBorder="1"/>
    <xf numFmtId="0" fontId="7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2" fillId="11" borderId="0" xfId="0" applyFont="1" applyFill="1"/>
    <xf numFmtId="0" fontId="0" fillId="11" borderId="0" xfId="0" applyFill="1"/>
    <xf numFmtId="0" fontId="7" fillId="11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2EE4-5A3C-4B6A-87A9-BD642969A5F0}">
  <dimension ref="A1:AR140"/>
  <sheetViews>
    <sheetView tabSelected="1" zoomScaleNormal="100" workbookViewId="0">
      <selection activeCell="I15" sqref="I15"/>
    </sheetView>
  </sheetViews>
  <sheetFormatPr defaultRowHeight="15" x14ac:dyDescent="0.25"/>
  <cols>
    <col min="1" max="1" width="7.42578125" style="40" customWidth="1"/>
    <col min="2" max="2" width="27.85546875" style="40" customWidth="1"/>
    <col min="3" max="3" width="30.140625" style="41" customWidth="1"/>
    <col min="4" max="4" width="5.28515625" style="40" customWidth="1"/>
    <col min="5" max="5" width="7.42578125" style="40" customWidth="1"/>
    <col min="6" max="7" width="9.7109375" style="40" customWidth="1"/>
    <col min="8" max="8" width="9.140625" style="40"/>
    <col min="9" max="9" width="9.140625" style="21"/>
    <col min="16" max="16" width="18.28515625" customWidth="1"/>
  </cols>
  <sheetData>
    <row r="1" spans="1:44" ht="28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2" t="s">
        <v>30</v>
      </c>
      <c r="G1" s="28"/>
      <c r="L1" s="7"/>
      <c r="V1">
        <f>W4+AH4</f>
        <v>22.200000000000031</v>
      </c>
      <c r="W1" s="8"/>
      <c r="X1" s="9" t="s">
        <v>17</v>
      </c>
      <c r="Y1" s="9" t="s">
        <v>17</v>
      </c>
      <c r="Z1" s="9" t="s">
        <v>17</v>
      </c>
      <c r="AA1" s="9" t="s">
        <v>17</v>
      </c>
      <c r="AB1" s="9" t="s">
        <v>17</v>
      </c>
      <c r="AC1" s="9" t="s">
        <v>17</v>
      </c>
      <c r="AD1" s="9" t="s">
        <v>17</v>
      </c>
      <c r="AE1" s="9" t="s">
        <v>17</v>
      </c>
      <c r="AF1" s="9" t="s">
        <v>17</v>
      </c>
      <c r="AG1" s="9" t="s">
        <v>17</v>
      </c>
      <c r="AH1" s="8"/>
      <c r="AI1" s="9" t="s">
        <v>18</v>
      </c>
      <c r="AJ1" s="9" t="s">
        <v>18</v>
      </c>
      <c r="AK1" s="9" t="s">
        <v>18</v>
      </c>
      <c r="AL1" s="9" t="s">
        <v>18</v>
      </c>
      <c r="AM1" s="9" t="s">
        <v>18</v>
      </c>
      <c r="AN1" s="9" t="s">
        <v>18</v>
      </c>
      <c r="AO1" s="9" t="s">
        <v>18</v>
      </c>
      <c r="AP1" s="9" t="s">
        <v>18</v>
      </c>
      <c r="AQ1" s="9" t="s">
        <v>18</v>
      </c>
      <c r="AR1" s="9" t="s">
        <v>18</v>
      </c>
    </row>
    <row r="2" spans="1:44" ht="14.1" customHeight="1" x14ac:dyDescent="0.25">
      <c r="A2" s="49" t="s">
        <v>41</v>
      </c>
      <c r="B2" s="15"/>
      <c r="C2" s="17" t="s">
        <v>4</v>
      </c>
      <c r="D2" s="17">
        <v>1</v>
      </c>
      <c r="E2" s="17"/>
      <c r="F2" s="18"/>
      <c r="G2" s="42"/>
      <c r="L2" s="29" t="s">
        <v>18</v>
      </c>
      <c r="O2" s="46" t="s">
        <v>32</v>
      </c>
      <c r="W2" s="8"/>
      <c r="X2" s="8">
        <v>6</v>
      </c>
      <c r="Y2" s="8">
        <v>8</v>
      </c>
      <c r="Z2" s="8">
        <v>10</v>
      </c>
      <c r="AA2" s="8">
        <v>12</v>
      </c>
      <c r="AB2" s="8">
        <v>14</v>
      </c>
      <c r="AC2" s="8">
        <v>16</v>
      </c>
      <c r="AD2" s="8">
        <v>18</v>
      </c>
      <c r="AE2" s="8">
        <v>20</v>
      </c>
      <c r="AF2" s="8">
        <v>22</v>
      </c>
      <c r="AG2" s="8">
        <v>25</v>
      </c>
      <c r="AH2" s="8"/>
      <c r="AI2" s="8">
        <v>6</v>
      </c>
      <c r="AJ2" s="8">
        <v>8</v>
      </c>
      <c r="AK2" s="8">
        <v>10</v>
      </c>
      <c r="AL2" s="8">
        <v>12</v>
      </c>
      <c r="AM2" s="8">
        <v>14</v>
      </c>
      <c r="AN2" s="8">
        <v>16</v>
      </c>
      <c r="AO2" s="8">
        <v>18</v>
      </c>
      <c r="AP2" s="8">
        <v>20</v>
      </c>
      <c r="AQ2" s="8">
        <v>22</v>
      </c>
      <c r="AR2" s="8">
        <v>25</v>
      </c>
    </row>
    <row r="3" spans="1:44" ht="14.1" customHeight="1" x14ac:dyDescent="0.25">
      <c r="A3" s="15"/>
      <c r="B3" s="15"/>
      <c r="C3" s="17" t="s">
        <v>5</v>
      </c>
      <c r="D3" s="15"/>
      <c r="E3" s="15"/>
      <c r="F3" s="16"/>
      <c r="G3" s="41"/>
      <c r="L3" s="7" t="s">
        <v>17</v>
      </c>
      <c r="W3" s="8"/>
      <c r="X3" s="10">
        <f t="shared" ref="X3:AG3" si="0">SUM(X5:X135)</f>
        <v>0</v>
      </c>
      <c r="Y3" s="10">
        <f t="shared" si="0"/>
        <v>22.200000000000031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0">
        <f t="shared" si="0"/>
        <v>0</v>
      </c>
      <c r="AD3" s="10">
        <f t="shared" si="0"/>
        <v>0</v>
      </c>
      <c r="AE3" s="10">
        <f t="shared" si="0"/>
        <v>0</v>
      </c>
      <c r="AF3" s="10">
        <f t="shared" si="0"/>
        <v>0</v>
      </c>
      <c r="AG3" s="10">
        <f t="shared" si="0"/>
        <v>0</v>
      </c>
      <c r="AH3" s="8"/>
      <c r="AI3" s="11">
        <f t="shared" ref="AI3:AR3" si="1">SUM(AI5:AI135)</f>
        <v>0</v>
      </c>
      <c r="AJ3" s="11">
        <f t="shared" si="1"/>
        <v>0</v>
      </c>
      <c r="AK3" s="11">
        <f t="shared" si="1"/>
        <v>0</v>
      </c>
      <c r="AL3" s="11">
        <f t="shared" si="1"/>
        <v>0</v>
      </c>
      <c r="AM3" s="11">
        <f t="shared" si="1"/>
        <v>0</v>
      </c>
      <c r="AN3" s="11">
        <f t="shared" si="1"/>
        <v>0</v>
      </c>
      <c r="AO3" s="11">
        <f t="shared" si="1"/>
        <v>0</v>
      </c>
      <c r="AP3" s="11">
        <f t="shared" si="1"/>
        <v>0</v>
      </c>
      <c r="AQ3" s="11">
        <f t="shared" si="1"/>
        <v>0</v>
      </c>
      <c r="AR3" s="11">
        <f t="shared" si="1"/>
        <v>0</v>
      </c>
    </row>
    <row r="4" spans="1:44" ht="14.1" customHeight="1" x14ac:dyDescent="0.25">
      <c r="A4" s="17" t="s">
        <v>6</v>
      </c>
      <c r="B4" s="17" t="s">
        <v>7</v>
      </c>
      <c r="C4" s="17" t="s">
        <v>20</v>
      </c>
      <c r="D4" s="17">
        <v>2</v>
      </c>
      <c r="E4" s="17">
        <v>0.1</v>
      </c>
      <c r="F4" s="18">
        <v>0.3</v>
      </c>
      <c r="G4" s="42" t="str">
        <f>IF(A4=O4,1,"0")&amp;IF(B4=P4,1,"0")&amp;IF(C4=Q4,1,"0")&amp;IF(D4=R4,1,"0")</f>
        <v>1111</v>
      </c>
      <c r="H4" s="42"/>
      <c r="I4" s="17"/>
      <c r="J4" s="17"/>
      <c r="K4" s="49"/>
      <c r="O4" s="48" t="s">
        <v>6</v>
      </c>
      <c r="P4" s="46" t="s">
        <v>7</v>
      </c>
      <c r="Q4" s="46" t="s">
        <v>20</v>
      </c>
      <c r="R4" s="46">
        <v>2</v>
      </c>
      <c r="S4" s="46">
        <v>0.1</v>
      </c>
      <c r="T4" s="44">
        <v>0.3</v>
      </c>
      <c r="W4" s="10">
        <f>SUM(X3:AG3)</f>
        <v>22.200000000000031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1">
        <f>SUM(AI3:AR3)</f>
        <v>0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ht="14.1" customHeight="1" x14ac:dyDescent="0.25">
      <c r="A5" s="17" t="s">
        <v>8</v>
      </c>
      <c r="B5" s="17" t="s">
        <v>9</v>
      </c>
      <c r="C5" s="17" t="s">
        <v>21</v>
      </c>
      <c r="D5" s="17">
        <v>2</v>
      </c>
      <c r="E5" s="15"/>
      <c r="F5" s="16"/>
      <c r="G5" s="42" t="str">
        <f t="shared" ref="G5:G15" si="2">IF(A5=O5,1,"0")&amp;IF(B5=P5,1,"0")&amp;IF(C5=Q5,1,"0")&amp;IF(D5=R5,1,"0")</f>
        <v>1111</v>
      </c>
      <c r="H5" s="42"/>
      <c r="I5" s="17"/>
      <c r="J5" s="17"/>
      <c r="K5" s="49"/>
      <c r="O5" s="48" t="s">
        <v>8</v>
      </c>
      <c r="P5" s="46" t="s">
        <v>9</v>
      </c>
      <c r="Q5" s="46" t="s">
        <v>21</v>
      </c>
      <c r="R5" s="46">
        <v>2</v>
      </c>
      <c r="S5" s="47"/>
      <c r="T5" s="45"/>
      <c r="W5" s="8"/>
      <c r="X5" s="13" t="str">
        <f>IF(AND($K5=X$2,$L5=X$1),$F5,"")</f>
        <v/>
      </c>
      <c r="Y5" s="13" t="str">
        <f t="shared" ref="X5:AG22" si="3">IF(AND($K5=Y$2,$L5=Y$1),$F5,"")</f>
        <v/>
      </c>
      <c r="Z5" s="13" t="str">
        <f t="shared" si="3"/>
        <v/>
      </c>
      <c r="AA5" s="13" t="str">
        <f t="shared" si="3"/>
        <v/>
      </c>
      <c r="AB5" s="13" t="str">
        <f t="shared" si="3"/>
        <v/>
      </c>
      <c r="AC5" s="13" t="str">
        <f>IF(AND($K5=AC$2,$L5=AC$1),$F5,"")</f>
        <v/>
      </c>
      <c r="AD5" s="13" t="str">
        <f t="shared" si="3"/>
        <v/>
      </c>
      <c r="AE5" s="13" t="str">
        <f t="shared" si="3"/>
        <v/>
      </c>
      <c r="AF5" s="13" t="str">
        <f t="shared" si="3"/>
        <v/>
      </c>
      <c r="AG5" s="13" t="str">
        <f t="shared" si="3"/>
        <v/>
      </c>
      <c r="AH5" s="14"/>
      <c r="AI5" s="13" t="str">
        <f t="shared" ref="AI5:AR22" si="4">IF(AND($K5=AI$2,$L5=AI$1),$F5,"")</f>
        <v/>
      </c>
      <c r="AJ5" s="13" t="str">
        <f t="shared" si="4"/>
        <v/>
      </c>
      <c r="AK5" s="13" t="str">
        <f t="shared" si="4"/>
        <v/>
      </c>
      <c r="AL5" s="13" t="str">
        <f t="shared" si="4"/>
        <v/>
      </c>
      <c r="AM5" s="13" t="str">
        <f t="shared" si="4"/>
        <v/>
      </c>
      <c r="AN5" s="13" t="str">
        <f t="shared" si="4"/>
        <v/>
      </c>
      <c r="AO5" s="13" t="str">
        <f t="shared" si="4"/>
        <v/>
      </c>
      <c r="AP5" s="13" t="str">
        <f t="shared" si="4"/>
        <v/>
      </c>
      <c r="AQ5" s="13" t="str">
        <f t="shared" si="4"/>
        <v/>
      </c>
      <c r="AR5" s="13" t="str">
        <f t="shared" si="4"/>
        <v/>
      </c>
    </row>
    <row r="6" spans="1:44" ht="14.1" customHeight="1" x14ac:dyDescent="0.25">
      <c r="A6" s="17" t="s">
        <v>10</v>
      </c>
      <c r="B6" s="17" t="s">
        <v>9</v>
      </c>
      <c r="C6" s="17" t="s">
        <v>22</v>
      </c>
      <c r="D6" s="17">
        <v>8</v>
      </c>
      <c r="E6" s="15"/>
      <c r="F6" s="16"/>
      <c r="G6" s="42" t="str">
        <f t="shared" si="2"/>
        <v>1111</v>
      </c>
      <c r="H6" s="42"/>
      <c r="I6" s="17"/>
      <c r="J6" s="17"/>
      <c r="K6" s="49"/>
      <c r="O6" s="48" t="s">
        <v>10</v>
      </c>
      <c r="P6" s="46" t="s">
        <v>9</v>
      </c>
      <c r="Q6" s="46" t="s">
        <v>22</v>
      </c>
      <c r="R6" s="46">
        <v>8</v>
      </c>
      <c r="S6" s="47"/>
      <c r="T6" s="45"/>
      <c r="W6" s="8"/>
      <c r="X6" s="13" t="str">
        <f t="shared" si="3"/>
        <v/>
      </c>
      <c r="Y6" s="13" t="str">
        <f t="shared" si="3"/>
        <v/>
      </c>
      <c r="Z6" s="13" t="str">
        <f t="shared" si="3"/>
        <v/>
      </c>
      <c r="AA6" s="13" t="str">
        <f t="shared" si="3"/>
        <v/>
      </c>
      <c r="AB6" s="13" t="str">
        <f t="shared" si="3"/>
        <v/>
      </c>
      <c r="AC6" s="13" t="str">
        <f t="shared" si="3"/>
        <v/>
      </c>
      <c r="AD6" s="13" t="str">
        <f t="shared" si="3"/>
        <v/>
      </c>
      <c r="AE6" s="13" t="str">
        <f t="shared" si="3"/>
        <v/>
      </c>
      <c r="AF6" s="13" t="str">
        <f t="shared" si="3"/>
        <v/>
      </c>
      <c r="AG6" s="13" t="str">
        <f t="shared" si="3"/>
        <v/>
      </c>
      <c r="AH6" s="14"/>
      <c r="AI6" s="13" t="str">
        <f t="shared" si="4"/>
        <v/>
      </c>
      <c r="AJ6" s="13" t="str">
        <f t="shared" si="4"/>
        <v/>
      </c>
      <c r="AK6" s="13" t="str">
        <f t="shared" si="4"/>
        <v/>
      </c>
      <c r="AL6" s="13" t="str">
        <f t="shared" si="4"/>
        <v/>
      </c>
      <c r="AM6" s="13" t="str">
        <f t="shared" si="4"/>
        <v/>
      </c>
      <c r="AN6" s="13" t="str">
        <f t="shared" si="4"/>
        <v/>
      </c>
      <c r="AO6" s="13" t="str">
        <f t="shared" si="4"/>
        <v/>
      </c>
      <c r="AP6" s="13" t="str">
        <f t="shared" si="4"/>
        <v/>
      </c>
      <c r="AQ6" s="13" t="str">
        <f t="shared" si="4"/>
        <v/>
      </c>
      <c r="AR6" s="13" t="str">
        <f t="shared" si="4"/>
        <v/>
      </c>
    </row>
    <row r="7" spans="1:44" ht="14.1" customHeight="1" x14ac:dyDescent="0.25">
      <c r="A7" s="17" t="s">
        <v>23</v>
      </c>
      <c r="B7" s="17" t="s">
        <v>9</v>
      </c>
      <c r="C7" s="17" t="s">
        <v>24</v>
      </c>
      <c r="D7" s="17">
        <v>2</v>
      </c>
      <c r="E7" s="15"/>
      <c r="F7" s="16"/>
      <c r="G7" s="42" t="str">
        <f t="shared" si="2"/>
        <v>1111</v>
      </c>
      <c r="H7" s="42"/>
      <c r="I7" s="17"/>
      <c r="J7" s="17"/>
      <c r="K7" s="49"/>
      <c r="O7" s="48" t="s">
        <v>23</v>
      </c>
      <c r="P7" s="46" t="s">
        <v>9</v>
      </c>
      <c r="Q7" s="46" t="s">
        <v>24</v>
      </c>
      <c r="R7" s="46">
        <v>2</v>
      </c>
      <c r="S7" s="47"/>
      <c r="T7" s="45"/>
      <c r="W7" s="8"/>
      <c r="X7" s="13" t="str">
        <f t="shared" si="3"/>
        <v/>
      </c>
      <c r="Y7" s="13" t="str">
        <f t="shared" si="3"/>
        <v/>
      </c>
      <c r="Z7" s="13" t="str">
        <f t="shared" si="3"/>
        <v/>
      </c>
      <c r="AA7" s="13" t="str">
        <f t="shared" si="3"/>
        <v/>
      </c>
      <c r="AB7" s="13" t="str">
        <f t="shared" si="3"/>
        <v/>
      </c>
      <c r="AC7" s="13" t="str">
        <f t="shared" si="3"/>
        <v/>
      </c>
      <c r="AD7" s="13" t="str">
        <f t="shared" si="3"/>
        <v/>
      </c>
      <c r="AE7" s="13" t="str">
        <f t="shared" si="3"/>
        <v/>
      </c>
      <c r="AF7" s="13" t="str">
        <f t="shared" si="3"/>
        <v/>
      </c>
      <c r="AG7" s="13" t="str">
        <f t="shared" si="3"/>
        <v/>
      </c>
      <c r="AH7" s="14"/>
      <c r="AI7" s="13" t="str">
        <f t="shared" si="4"/>
        <v/>
      </c>
      <c r="AJ7" s="13" t="str">
        <f t="shared" si="4"/>
        <v/>
      </c>
      <c r="AK7" s="13" t="str">
        <f t="shared" si="4"/>
        <v/>
      </c>
      <c r="AL7" s="13" t="str">
        <f t="shared" si="4"/>
        <v/>
      </c>
      <c r="AM7" s="13" t="str">
        <f t="shared" si="4"/>
        <v/>
      </c>
      <c r="AN7" s="13" t="str">
        <f t="shared" si="4"/>
        <v/>
      </c>
      <c r="AO7" s="13" t="str">
        <f t="shared" si="4"/>
        <v/>
      </c>
      <c r="AP7" s="13" t="str">
        <f t="shared" si="4"/>
        <v/>
      </c>
      <c r="AQ7" s="13" t="str">
        <f t="shared" si="4"/>
        <v/>
      </c>
      <c r="AR7" s="13" t="str">
        <f t="shared" si="4"/>
        <v/>
      </c>
    </row>
    <row r="8" spans="1:44" ht="14.1" customHeight="1" x14ac:dyDescent="0.25">
      <c r="A8" s="17" t="s">
        <v>25</v>
      </c>
      <c r="B8" s="17" t="s">
        <v>9</v>
      </c>
      <c r="C8" s="17" t="s">
        <v>26</v>
      </c>
      <c r="D8" s="17">
        <v>2</v>
      </c>
      <c r="E8" s="15"/>
      <c r="F8" s="16"/>
      <c r="G8" s="42" t="str">
        <f t="shared" si="2"/>
        <v>1111</v>
      </c>
      <c r="H8" s="42"/>
      <c r="I8" s="17"/>
      <c r="J8" s="17"/>
      <c r="K8" s="49"/>
      <c r="O8" s="48" t="s">
        <v>25</v>
      </c>
      <c r="P8" s="46" t="s">
        <v>9</v>
      </c>
      <c r="Q8" s="46" t="s">
        <v>26</v>
      </c>
      <c r="R8" s="46">
        <v>2</v>
      </c>
      <c r="S8" s="47"/>
      <c r="T8" s="45"/>
      <c r="W8" s="8"/>
      <c r="X8" s="13" t="str">
        <f t="shared" si="3"/>
        <v/>
      </c>
      <c r="Y8" s="13" t="str">
        <f t="shared" si="3"/>
        <v/>
      </c>
      <c r="Z8" s="13" t="str">
        <f t="shared" si="3"/>
        <v/>
      </c>
      <c r="AA8" s="13" t="str">
        <f t="shared" si="3"/>
        <v/>
      </c>
      <c r="AB8" s="13" t="str">
        <f t="shared" si="3"/>
        <v/>
      </c>
      <c r="AC8" s="13" t="str">
        <f t="shared" si="3"/>
        <v/>
      </c>
      <c r="AD8" s="13" t="str">
        <f t="shared" si="3"/>
        <v/>
      </c>
      <c r="AE8" s="13" t="str">
        <f t="shared" si="3"/>
        <v/>
      </c>
      <c r="AF8" s="13" t="str">
        <f t="shared" si="3"/>
        <v/>
      </c>
      <c r="AG8" s="13" t="str">
        <f t="shared" si="3"/>
        <v/>
      </c>
      <c r="AH8" s="14"/>
      <c r="AI8" s="13" t="str">
        <f t="shared" si="4"/>
        <v/>
      </c>
      <c r="AJ8" s="13" t="str">
        <f t="shared" si="4"/>
        <v/>
      </c>
      <c r="AK8" s="13" t="str">
        <f t="shared" si="4"/>
        <v/>
      </c>
      <c r="AL8" s="13" t="str">
        <f t="shared" si="4"/>
        <v/>
      </c>
      <c r="AM8" s="13" t="str">
        <f t="shared" si="4"/>
        <v/>
      </c>
      <c r="AN8" s="13" t="str">
        <f t="shared" si="4"/>
        <v/>
      </c>
      <c r="AO8" s="13" t="str">
        <f t="shared" si="4"/>
        <v/>
      </c>
      <c r="AP8" s="13" t="str">
        <f t="shared" si="4"/>
        <v/>
      </c>
      <c r="AQ8" s="13" t="str">
        <f t="shared" si="4"/>
        <v/>
      </c>
      <c r="AR8" s="13" t="str">
        <f t="shared" si="4"/>
        <v/>
      </c>
    </row>
    <row r="9" spans="1:44" ht="14.1" customHeight="1" x14ac:dyDescent="0.25">
      <c r="A9" s="17" t="s">
        <v>33</v>
      </c>
      <c r="B9" s="17" t="s">
        <v>9</v>
      </c>
      <c r="C9" s="17" t="s">
        <v>34</v>
      </c>
      <c r="D9" s="17">
        <v>2</v>
      </c>
      <c r="E9" s="15"/>
      <c r="F9" s="16"/>
      <c r="G9" s="42" t="str">
        <f t="shared" si="2"/>
        <v>1111</v>
      </c>
      <c r="H9" s="42"/>
      <c r="I9" s="17"/>
      <c r="J9" s="17"/>
      <c r="K9" s="49"/>
      <c r="O9" s="48" t="s">
        <v>33</v>
      </c>
      <c r="P9" s="46" t="s">
        <v>9</v>
      </c>
      <c r="Q9" s="46" t="s">
        <v>34</v>
      </c>
      <c r="R9" s="46">
        <v>2</v>
      </c>
      <c r="S9" s="47"/>
      <c r="T9" s="45"/>
      <c r="W9" s="8"/>
      <c r="X9" s="13" t="str">
        <f t="shared" si="3"/>
        <v/>
      </c>
      <c r="Y9" s="13" t="str">
        <f t="shared" si="3"/>
        <v/>
      </c>
      <c r="Z9" s="13" t="str">
        <f t="shared" si="3"/>
        <v/>
      </c>
      <c r="AA9" s="13" t="str">
        <f t="shared" si="3"/>
        <v/>
      </c>
      <c r="AB9" s="13" t="str">
        <f t="shared" si="3"/>
        <v/>
      </c>
      <c r="AC9" s="13" t="str">
        <f t="shared" si="3"/>
        <v/>
      </c>
      <c r="AD9" s="13" t="str">
        <f t="shared" si="3"/>
        <v/>
      </c>
      <c r="AE9" s="13" t="str">
        <f t="shared" si="3"/>
        <v/>
      </c>
      <c r="AF9" s="13" t="str">
        <f t="shared" si="3"/>
        <v/>
      </c>
      <c r="AG9" s="13" t="str">
        <f t="shared" si="3"/>
        <v/>
      </c>
      <c r="AH9" s="14"/>
      <c r="AI9" s="13" t="str">
        <f t="shared" si="4"/>
        <v/>
      </c>
      <c r="AJ9" s="13" t="str">
        <f t="shared" si="4"/>
        <v/>
      </c>
      <c r="AK9" s="13" t="str">
        <f t="shared" si="4"/>
        <v/>
      </c>
      <c r="AL9" s="13" t="str">
        <f t="shared" si="4"/>
        <v/>
      </c>
      <c r="AM9" s="13" t="str">
        <f t="shared" si="4"/>
        <v/>
      </c>
      <c r="AN9" s="13" t="str">
        <f t="shared" si="4"/>
        <v/>
      </c>
      <c r="AO9" s="13" t="str">
        <f t="shared" si="4"/>
        <v/>
      </c>
      <c r="AP9" s="13" t="str">
        <f t="shared" si="4"/>
        <v/>
      </c>
      <c r="AQ9" s="13" t="str">
        <f t="shared" si="4"/>
        <v/>
      </c>
      <c r="AR9" s="13" t="str">
        <f t="shared" si="4"/>
        <v/>
      </c>
    </row>
    <row r="10" spans="1:44" ht="14.1" customHeight="1" x14ac:dyDescent="0.25">
      <c r="A10" s="17" t="s">
        <v>35</v>
      </c>
      <c r="B10" s="17" t="s">
        <v>9</v>
      </c>
      <c r="C10" s="17" t="s">
        <v>36</v>
      </c>
      <c r="D10" s="17">
        <v>2</v>
      </c>
      <c r="E10" s="15"/>
      <c r="F10" s="16"/>
      <c r="G10" s="42" t="str">
        <f t="shared" si="2"/>
        <v>1111</v>
      </c>
      <c r="H10" s="42"/>
      <c r="I10" s="17"/>
      <c r="J10" s="17"/>
      <c r="K10" s="49"/>
      <c r="O10" s="48" t="s">
        <v>35</v>
      </c>
      <c r="P10" s="46" t="s">
        <v>9</v>
      </c>
      <c r="Q10" s="46" t="s">
        <v>36</v>
      </c>
      <c r="R10" s="46">
        <v>2</v>
      </c>
      <c r="S10" s="47"/>
      <c r="T10" s="45"/>
      <c r="W10" s="8"/>
      <c r="X10" s="13" t="str">
        <f t="shared" si="3"/>
        <v/>
      </c>
      <c r="Y10" s="13" t="str">
        <f t="shared" si="3"/>
        <v/>
      </c>
      <c r="Z10" s="13" t="str">
        <f t="shared" si="3"/>
        <v/>
      </c>
      <c r="AA10" s="13" t="str">
        <f t="shared" si="3"/>
        <v/>
      </c>
      <c r="AB10" s="13" t="str">
        <f t="shared" si="3"/>
        <v/>
      </c>
      <c r="AC10" s="13" t="str">
        <f t="shared" si="3"/>
        <v/>
      </c>
      <c r="AD10" s="13" t="str">
        <f t="shared" si="3"/>
        <v/>
      </c>
      <c r="AE10" s="13" t="str">
        <f t="shared" si="3"/>
        <v/>
      </c>
      <c r="AF10" s="13" t="str">
        <f t="shared" si="3"/>
        <v/>
      </c>
      <c r="AG10" s="13" t="str">
        <f t="shared" si="3"/>
        <v/>
      </c>
      <c r="AH10" s="14"/>
      <c r="AI10" s="13" t="str">
        <f t="shared" si="4"/>
        <v/>
      </c>
      <c r="AJ10" s="13" t="str">
        <f t="shared" si="4"/>
        <v/>
      </c>
      <c r="AK10" s="13" t="str">
        <f t="shared" si="4"/>
        <v/>
      </c>
      <c r="AL10" s="13" t="str">
        <f t="shared" si="4"/>
        <v/>
      </c>
      <c r="AM10" s="13" t="str">
        <f t="shared" si="4"/>
        <v/>
      </c>
      <c r="AN10" s="13" t="str">
        <f t="shared" si="4"/>
        <v/>
      </c>
      <c r="AO10" s="13" t="str">
        <f t="shared" si="4"/>
        <v/>
      </c>
      <c r="AP10" s="13" t="str">
        <f t="shared" si="4"/>
        <v/>
      </c>
      <c r="AQ10" s="13" t="str">
        <f t="shared" si="4"/>
        <v/>
      </c>
      <c r="AR10" s="13" t="str">
        <f t="shared" si="4"/>
        <v/>
      </c>
    </row>
    <row r="11" spans="1:44" ht="14.1" customHeight="1" x14ac:dyDescent="0.25">
      <c r="A11" s="17" t="s">
        <v>11</v>
      </c>
      <c r="B11" s="17" t="s">
        <v>12</v>
      </c>
      <c r="C11" s="17" t="s">
        <v>19</v>
      </c>
      <c r="D11" s="17">
        <v>4</v>
      </c>
      <c r="E11" s="15"/>
      <c r="F11" s="16"/>
      <c r="G11" s="42" t="str">
        <f t="shared" si="2"/>
        <v>1111</v>
      </c>
      <c r="H11" s="42"/>
      <c r="I11" s="17"/>
      <c r="J11" s="17"/>
      <c r="K11" s="49"/>
      <c r="O11" s="48" t="s">
        <v>11</v>
      </c>
      <c r="P11" s="46" t="s">
        <v>12</v>
      </c>
      <c r="Q11" s="46" t="s">
        <v>19</v>
      </c>
      <c r="R11" s="46">
        <v>4</v>
      </c>
      <c r="S11" s="47"/>
      <c r="T11" s="45"/>
      <c r="W11" s="8"/>
      <c r="X11" s="13" t="str">
        <f t="shared" si="3"/>
        <v/>
      </c>
      <c r="Y11" s="13" t="str">
        <f t="shared" si="3"/>
        <v/>
      </c>
      <c r="Z11" s="13" t="str">
        <f t="shared" si="3"/>
        <v/>
      </c>
      <c r="AA11" s="13" t="str">
        <f t="shared" si="3"/>
        <v/>
      </c>
      <c r="AB11" s="13" t="str">
        <f t="shared" si="3"/>
        <v/>
      </c>
      <c r="AC11" s="13" t="str">
        <f t="shared" si="3"/>
        <v/>
      </c>
      <c r="AD11" s="13" t="str">
        <f t="shared" si="3"/>
        <v/>
      </c>
      <c r="AE11" s="13" t="str">
        <f t="shared" si="3"/>
        <v/>
      </c>
      <c r="AF11" s="13" t="str">
        <f t="shared" si="3"/>
        <v/>
      </c>
      <c r="AG11" s="13" t="str">
        <f t="shared" si="3"/>
        <v/>
      </c>
      <c r="AH11" s="14"/>
      <c r="AI11" s="13" t="str">
        <f t="shared" si="4"/>
        <v/>
      </c>
      <c r="AJ11" s="13" t="str">
        <f t="shared" si="4"/>
        <v/>
      </c>
      <c r="AK11" s="13" t="str">
        <f t="shared" si="4"/>
        <v/>
      </c>
      <c r="AL11" s="13" t="str">
        <f t="shared" si="4"/>
        <v/>
      </c>
      <c r="AM11" s="13" t="str">
        <f t="shared" si="4"/>
        <v/>
      </c>
      <c r="AN11" s="13" t="str">
        <f t="shared" si="4"/>
        <v/>
      </c>
      <c r="AO11" s="13" t="str">
        <f t="shared" si="4"/>
        <v/>
      </c>
      <c r="AP11" s="13" t="str">
        <f t="shared" si="4"/>
        <v/>
      </c>
      <c r="AQ11" s="13" t="str">
        <f t="shared" si="4"/>
        <v/>
      </c>
      <c r="AR11" s="13" t="str">
        <f t="shared" si="4"/>
        <v/>
      </c>
    </row>
    <row r="12" spans="1:44" ht="14.1" customHeight="1" x14ac:dyDescent="0.25">
      <c r="A12" s="17" t="s">
        <v>27</v>
      </c>
      <c r="B12" s="17" t="s">
        <v>12</v>
      </c>
      <c r="C12" s="17" t="s">
        <v>28</v>
      </c>
      <c r="D12" s="17">
        <v>6</v>
      </c>
      <c r="E12" s="15"/>
      <c r="F12" s="16"/>
      <c r="G12" s="42" t="str">
        <f t="shared" si="2"/>
        <v>1111</v>
      </c>
      <c r="I12" s="17"/>
      <c r="J12" s="17"/>
      <c r="K12" s="49"/>
      <c r="O12" s="48" t="s">
        <v>27</v>
      </c>
      <c r="P12" s="46" t="s">
        <v>12</v>
      </c>
      <c r="Q12" s="46" t="s">
        <v>28</v>
      </c>
      <c r="R12" s="46">
        <v>6</v>
      </c>
      <c r="S12" s="47"/>
      <c r="T12" s="45"/>
      <c r="W12" s="8"/>
      <c r="X12" s="13" t="str">
        <f t="shared" si="3"/>
        <v/>
      </c>
      <c r="Y12" s="13" t="str">
        <f t="shared" si="3"/>
        <v/>
      </c>
      <c r="Z12" s="13" t="str">
        <f t="shared" si="3"/>
        <v/>
      </c>
      <c r="AA12" s="13" t="str">
        <f t="shared" si="3"/>
        <v/>
      </c>
      <c r="AB12" s="13" t="str">
        <f t="shared" si="3"/>
        <v/>
      </c>
      <c r="AC12" s="13" t="str">
        <f t="shared" si="3"/>
        <v/>
      </c>
      <c r="AD12" s="13" t="str">
        <f t="shared" si="3"/>
        <v/>
      </c>
      <c r="AE12" s="13" t="str">
        <f t="shared" si="3"/>
        <v/>
      </c>
      <c r="AF12" s="13" t="str">
        <f t="shared" si="3"/>
        <v/>
      </c>
      <c r="AG12" s="13" t="str">
        <f t="shared" si="3"/>
        <v/>
      </c>
      <c r="AH12" s="14"/>
      <c r="AI12" s="13" t="str">
        <f t="shared" si="4"/>
        <v/>
      </c>
      <c r="AJ12" s="13" t="str">
        <f t="shared" si="4"/>
        <v/>
      </c>
      <c r="AK12" s="13" t="str">
        <f t="shared" si="4"/>
        <v/>
      </c>
      <c r="AL12" s="13" t="str">
        <f t="shared" si="4"/>
        <v/>
      </c>
      <c r="AM12" s="13" t="str">
        <f t="shared" si="4"/>
        <v/>
      </c>
      <c r="AN12" s="13" t="str">
        <f t="shared" si="4"/>
        <v/>
      </c>
      <c r="AO12" s="13" t="str">
        <f t="shared" si="4"/>
        <v/>
      </c>
      <c r="AP12" s="13" t="str">
        <f t="shared" si="4"/>
        <v/>
      </c>
      <c r="AQ12" s="13" t="str">
        <f t="shared" si="4"/>
        <v/>
      </c>
      <c r="AR12" s="13" t="str">
        <f t="shared" si="4"/>
        <v/>
      </c>
    </row>
    <row r="13" spans="1:44" ht="14.1" customHeight="1" x14ac:dyDescent="0.25">
      <c r="A13" s="17"/>
      <c r="B13" s="17"/>
      <c r="C13" s="17"/>
      <c r="D13" s="17"/>
      <c r="E13" s="15"/>
      <c r="F13" s="16"/>
      <c r="G13" s="42" t="str">
        <f>IF(A13=O13,1,"0")&amp;IF(B13=P13,1,"0")&amp;IF(C13=Q13,1,"0")&amp;IF(D13=R13,1,"0")</f>
        <v>1111</v>
      </c>
      <c r="O13" s="48"/>
      <c r="P13" s="46"/>
      <c r="Q13" s="46"/>
      <c r="R13" s="46"/>
      <c r="S13" s="7"/>
      <c r="T13" s="45"/>
      <c r="W13" s="8"/>
      <c r="X13" s="13" t="str">
        <f t="shared" si="3"/>
        <v/>
      </c>
      <c r="Y13" s="13" t="str">
        <f t="shared" si="3"/>
        <v/>
      </c>
      <c r="Z13" s="13" t="str">
        <f t="shared" si="3"/>
        <v/>
      </c>
      <c r="AA13" s="13" t="str">
        <f t="shared" si="3"/>
        <v/>
      </c>
      <c r="AB13" s="13" t="str">
        <f t="shared" si="3"/>
        <v/>
      </c>
      <c r="AC13" s="13" t="str">
        <f t="shared" si="3"/>
        <v/>
      </c>
      <c r="AD13" s="13" t="str">
        <f t="shared" si="3"/>
        <v/>
      </c>
      <c r="AE13" s="13" t="str">
        <f t="shared" si="3"/>
        <v/>
      </c>
      <c r="AF13" s="13" t="str">
        <f t="shared" si="3"/>
        <v/>
      </c>
      <c r="AG13" s="13" t="str">
        <f t="shared" si="3"/>
        <v/>
      </c>
      <c r="AH13" s="14"/>
      <c r="AI13" s="13" t="str">
        <f t="shared" si="4"/>
        <v/>
      </c>
      <c r="AJ13" s="13" t="str">
        <f t="shared" si="4"/>
        <v/>
      </c>
      <c r="AK13" s="13" t="str">
        <f t="shared" si="4"/>
        <v/>
      </c>
      <c r="AL13" s="13" t="str">
        <f t="shared" si="4"/>
        <v/>
      </c>
      <c r="AM13" s="13" t="str">
        <f t="shared" si="4"/>
        <v/>
      </c>
      <c r="AN13" s="13" t="str">
        <f t="shared" si="4"/>
        <v/>
      </c>
      <c r="AO13" s="13" t="str">
        <f t="shared" si="4"/>
        <v/>
      </c>
      <c r="AP13" s="13" t="str">
        <f t="shared" si="4"/>
        <v/>
      </c>
      <c r="AQ13" s="13" t="str">
        <f t="shared" si="4"/>
        <v/>
      </c>
      <c r="AR13" s="13" t="str">
        <f t="shared" si="4"/>
        <v/>
      </c>
    </row>
    <row r="14" spans="1:44" ht="14.1" customHeight="1" x14ac:dyDescent="0.25">
      <c r="A14" s="17"/>
      <c r="B14" s="17"/>
      <c r="C14" s="17"/>
      <c r="D14" s="17"/>
      <c r="E14" s="15"/>
      <c r="F14" s="16"/>
      <c r="G14" s="42" t="str">
        <f t="shared" si="2"/>
        <v>1111</v>
      </c>
      <c r="I14" s="50" t="s">
        <v>44</v>
      </c>
      <c r="J14" s="51"/>
      <c r="K14" s="51"/>
      <c r="L14" s="51"/>
      <c r="M14" s="51"/>
      <c r="N14" s="51"/>
      <c r="O14" s="52"/>
      <c r="P14" s="46"/>
      <c r="Q14" s="46"/>
      <c r="R14" s="46"/>
      <c r="S14" s="47"/>
      <c r="T14" s="45"/>
      <c r="W14" s="8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ht="14.1" customHeight="1" x14ac:dyDescent="0.25">
      <c r="A15" s="17"/>
      <c r="B15" s="17"/>
      <c r="C15" s="17"/>
      <c r="D15" s="17"/>
      <c r="E15" s="15"/>
      <c r="F15" s="16"/>
      <c r="G15" s="42" t="str">
        <f t="shared" si="2"/>
        <v>1111</v>
      </c>
      <c r="I15" s="50" t="s">
        <v>45</v>
      </c>
      <c r="J15" s="51"/>
      <c r="K15" s="51"/>
      <c r="L15" s="51"/>
      <c r="M15" s="51"/>
      <c r="N15" s="51"/>
      <c r="O15" s="52"/>
      <c r="P15" s="46"/>
      <c r="Q15" s="46"/>
      <c r="R15" s="46"/>
      <c r="S15" s="47"/>
      <c r="T15" s="45"/>
      <c r="W15" s="8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ht="14.1" customHeight="1" x14ac:dyDescent="0.25">
      <c r="A16" s="17"/>
      <c r="B16" s="17"/>
      <c r="C16" s="17"/>
      <c r="D16" s="17"/>
      <c r="E16" s="15"/>
      <c r="F16" s="16"/>
      <c r="G16" s="41"/>
      <c r="W16" s="8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ht="14.1" customHeight="1" x14ac:dyDescent="0.25">
      <c r="A17" s="17"/>
      <c r="B17" s="17"/>
      <c r="C17" s="17"/>
      <c r="D17" s="17"/>
      <c r="E17" s="15"/>
      <c r="F17" s="16"/>
      <c r="G17" s="41"/>
      <c r="W17" s="8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4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ht="14.1" customHeight="1" x14ac:dyDescent="0.25">
      <c r="A18" s="17"/>
      <c r="B18" s="17"/>
      <c r="C18" s="17"/>
      <c r="D18" s="17"/>
      <c r="E18" s="15"/>
      <c r="F18" s="16"/>
      <c r="G18" s="41"/>
      <c r="W18" s="8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ht="14.1" customHeight="1" x14ac:dyDescent="0.25">
      <c r="A19" s="17"/>
      <c r="B19" s="17"/>
      <c r="C19" s="17"/>
      <c r="D19" s="17"/>
      <c r="E19" s="15"/>
      <c r="F19" s="16"/>
      <c r="G19" s="41"/>
      <c r="W19" s="8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4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ht="14.1" customHeight="1" x14ac:dyDescent="0.25">
      <c r="A20" s="17"/>
      <c r="B20" s="17"/>
      <c r="C20" s="17"/>
      <c r="D20" s="17"/>
      <c r="E20" s="15"/>
      <c r="F20" s="16"/>
      <c r="G20" s="41"/>
      <c r="W20" s="8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4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ht="14.1" customHeight="1" x14ac:dyDescent="0.25">
      <c r="A21" s="3"/>
      <c r="B21" s="3"/>
      <c r="C21" s="3"/>
      <c r="D21" s="3"/>
      <c r="E21" s="30"/>
      <c r="F21" s="32"/>
      <c r="G21" s="41"/>
      <c r="W21" s="8"/>
      <c r="X21" s="13" t="str">
        <f t="shared" si="3"/>
        <v/>
      </c>
      <c r="Y21" s="13" t="str">
        <f t="shared" si="3"/>
        <v/>
      </c>
      <c r="Z21" s="13" t="str">
        <f t="shared" si="3"/>
        <v/>
      </c>
      <c r="AA21" s="13" t="str">
        <f t="shared" si="3"/>
        <v/>
      </c>
      <c r="AB21" s="13" t="str">
        <f t="shared" si="3"/>
        <v/>
      </c>
      <c r="AC21" s="13" t="str">
        <f t="shared" si="3"/>
        <v/>
      </c>
      <c r="AD21" s="13" t="str">
        <f t="shared" si="3"/>
        <v/>
      </c>
      <c r="AE21" s="13" t="str">
        <f t="shared" si="3"/>
        <v/>
      </c>
      <c r="AF21" s="13" t="str">
        <f t="shared" si="3"/>
        <v/>
      </c>
      <c r="AG21" s="13" t="str">
        <f t="shared" si="3"/>
        <v/>
      </c>
      <c r="AH21" s="14"/>
      <c r="AI21" s="13" t="str">
        <f t="shared" si="4"/>
        <v/>
      </c>
      <c r="AJ21" s="13" t="str">
        <f t="shared" si="4"/>
        <v/>
      </c>
      <c r="AK21" s="13" t="str">
        <f t="shared" si="4"/>
        <v/>
      </c>
      <c r="AL21" s="13" t="str">
        <f t="shared" si="4"/>
        <v/>
      </c>
      <c r="AM21" s="13" t="str">
        <f t="shared" si="4"/>
        <v/>
      </c>
      <c r="AN21" s="13" t="str">
        <f t="shared" si="4"/>
        <v/>
      </c>
      <c r="AO21" s="13" t="str">
        <f t="shared" si="4"/>
        <v/>
      </c>
      <c r="AP21" s="13" t="str">
        <f t="shared" si="4"/>
        <v/>
      </c>
      <c r="AQ21" s="13" t="str">
        <f t="shared" si="4"/>
        <v/>
      </c>
      <c r="AR21" s="13" t="str">
        <f t="shared" si="4"/>
        <v/>
      </c>
    </row>
    <row r="22" spans="1:44" ht="14.1" customHeight="1" x14ac:dyDescent="0.25">
      <c r="A22" s="1"/>
      <c r="B22" s="1"/>
      <c r="C22" s="1" t="s">
        <v>13</v>
      </c>
      <c r="D22" s="1"/>
      <c r="E22" s="1"/>
      <c r="F22" s="2"/>
      <c r="G22" s="28"/>
      <c r="I22" s="22">
        <f t="shared" ref="I22:I89" si="5">A22</f>
        <v>0</v>
      </c>
      <c r="K22" s="20"/>
      <c r="L22" s="7"/>
      <c r="P22" s="6" t="str">
        <f t="shared" ref="P22" si="6">K22&amp;" А500C L = "&amp;M22</f>
        <v xml:space="preserve"> А500C L = </v>
      </c>
      <c r="R22" s="39">
        <f t="shared" ref="R22:R23" si="7">IF(K22=6,0.222,IF(K22=8,0.395,IF(K22=10,0.617,IF(K22=12,0.888,IF(K22=14,1.208,IF(K22=16,1.578,IF(K22=18,1.998,IF(K22=20,2.466,IF(K22=22,2.984,IF(K22=25,3.853,IF(K22=28,4.83,IF(K22=32,6.31,0))))))))))))</f>
        <v>0</v>
      </c>
      <c r="T22" s="6">
        <f t="shared" ref="T22" si="8">ROUND(M22/1000*R22,2)</f>
        <v>0</v>
      </c>
      <c r="U22" s="6">
        <f t="shared" ref="U22" si="9">T22*N22</f>
        <v>0</v>
      </c>
      <c r="X22" s="13" t="str">
        <f t="shared" si="3"/>
        <v/>
      </c>
      <c r="Y22" s="13" t="str">
        <f t="shared" si="3"/>
        <v/>
      </c>
      <c r="Z22" s="13" t="str">
        <f t="shared" si="3"/>
        <v/>
      </c>
      <c r="AA22" s="13" t="str">
        <f t="shared" si="3"/>
        <v/>
      </c>
      <c r="AB22" s="13" t="str">
        <f t="shared" si="3"/>
        <v/>
      </c>
      <c r="AC22" s="13" t="str">
        <f t="shared" si="3"/>
        <v/>
      </c>
      <c r="AD22" s="13" t="str">
        <f t="shared" si="3"/>
        <v/>
      </c>
      <c r="AE22" s="13" t="str">
        <f t="shared" si="3"/>
        <v/>
      </c>
      <c r="AF22" s="13" t="str">
        <f t="shared" si="3"/>
        <v/>
      </c>
      <c r="AG22" s="13" t="str">
        <f t="shared" si="3"/>
        <v/>
      </c>
      <c r="AH22" s="14"/>
      <c r="AI22" s="13" t="str">
        <f t="shared" si="4"/>
        <v/>
      </c>
      <c r="AJ22" s="13" t="str">
        <f t="shared" si="4"/>
        <v/>
      </c>
      <c r="AK22" s="13" t="str">
        <f t="shared" si="4"/>
        <v/>
      </c>
      <c r="AL22" s="13" t="str">
        <f t="shared" si="4"/>
        <v/>
      </c>
      <c r="AM22" s="13" t="str">
        <f t="shared" si="4"/>
        <v/>
      </c>
      <c r="AN22" s="13" t="str">
        <f t="shared" si="4"/>
        <v/>
      </c>
      <c r="AO22" s="13" t="str">
        <f t="shared" si="4"/>
        <v/>
      </c>
      <c r="AP22" s="13" t="str">
        <f t="shared" si="4"/>
        <v/>
      </c>
      <c r="AQ22" s="13" t="str">
        <f t="shared" si="4"/>
        <v/>
      </c>
      <c r="AR22" s="13" t="str">
        <f t="shared" si="4"/>
        <v/>
      </c>
    </row>
    <row r="23" spans="1:44" ht="14.1" customHeight="1" x14ac:dyDescent="0.25">
      <c r="A23" s="30"/>
      <c r="B23" s="3"/>
      <c r="C23" s="33" t="s">
        <v>37</v>
      </c>
      <c r="D23" s="3">
        <v>1</v>
      </c>
      <c r="E23" s="23">
        <f>SUM(F24:F33)</f>
        <v>2.9999999999999996</v>
      </c>
      <c r="F23" s="24">
        <f>D23*E23</f>
        <v>2.9999999999999996</v>
      </c>
      <c r="G23" s="17">
        <v>65.900000000000006</v>
      </c>
      <c r="H23" s="18">
        <v>65.900000000000006</v>
      </c>
      <c r="I23" s="22">
        <f t="shared" si="5"/>
        <v>0</v>
      </c>
      <c r="K23" s="27"/>
      <c r="L23" s="7"/>
      <c r="M23" s="26"/>
      <c r="N23" s="26"/>
      <c r="P23" s="6"/>
      <c r="R23" s="39">
        <f t="shared" si="7"/>
        <v>0</v>
      </c>
      <c r="T23" s="6"/>
      <c r="U23" s="6"/>
      <c r="X23" s="13" t="str">
        <f t="shared" ref="X23:AG45" si="10">IF(AND($K23=X$2,$L23=X$1),$F23,"")</f>
        <v/>
      </c>
      <c r="Y23" s="13" t="str">
        <f t="shared" si="10"/>
        <v/>
      </c>
      <c r="Z23" s="13" t="str">
        <f t="shared" si="10"/>
        <v/>
      </c>
      <c r="AA23" s="13" t="str">
        <f t="shared" si="10"/>
        <v/>
      </c>
      <c r="AB23" s="13" t="str">
        <f t="shared" si="10"/>
        <v/>
      </c>
      <c r="AC23" s="13" t="str">
        <f t="shared" si="10"/>
        <v/>
      </c>
      <c r="AD23" s="13" t="str">
        <f t="shared" si="10"/>
        <v/>
      </c>
      <c r="AE23" s="13" t="str">
        <f t="shared" si="10"/>
        <v/>
      </c>
      <c r="AF23" s="13" t="str">
        <f t="shared" si="10"/>
        <v/>
      </c>
      <c r="AG23" s="13" t="str">
        <f t="shared" si="10"/>
        <v/>
      </c>
      <c r="AH23" s="14"/>
      <c r="AI23" s="13" t="str">
        <f t="shared" ref="AI23:AR45" si="11">IF(AND($K23=AI$2,$L23=AI$1),$F23,"")</f>
        <v/>
      </c>
      <c r="AJ23" s="13" t="str">
        <f t="shared" si="11"/>
        <v/>
      </c>
      <c r="AK23" s="13" t="str">
        <f t="shared" si="11"/>
        <v/>
      </c>
      <c r="AL23" s="13" t="str">
        <f t="shared" si="11"/>
        <v/>
      </c>
      <c r="AM23" s="13" t="str">
        <f t="shared" si="11"/>
        <v/>
      </c>
      <c r="AN23" s="13" t="str">
        <f t="shared" si="11"/>
        <v/>
      </c>
      <c r="AO23" s="13" t="str">
        <f t="shared" si="11"/>
        <v/>
      </c>
      <c r="AP23" s="13" t="str">
        <f t="shared" si="11"/>
        <v/>
      </c>
      <c r="AQ23" s="13" t="str">
        <f t="shared" si="11"/>
        <v/>
      </c>
      <c r="AR23" s="13" t="str">
        <f t="shared" si="11"/>
        <v/>
      </c>
    </row>
    <row r="24" spans="1:44" ht="14.1" customHeight="1" x14ac:dyDescent="0.25">
      <c r="A24" s="17">
        <v>1054</v>
      </c>
      <c r="B24" s="17" t="s">
        <v>14</v>
      </c>
      <c r="C24" s="17" t="s">
        <v>39</v>
      </c>
      <c r="D24" s="17">
        <v>1</v>
      </c>
      <c r="E24" s="34">
        <f>T24</f>
        <v>0.3</v>
      </c>
      <c r="F24" s="35">
        <f t="shared" ref="F24:F29" si="12">U24</f>
        <v>0.3</v>
      </c>
      <c r="G24" s="17">
        <v>0.15</v>
      </c>
      <c r="H24" s="18">
        <v>0.31</v>
      </c>
      <c r="I24" s="22">
        <f t="shared" si="5"/>
        <v>1054</v>
      </c>
      <c r="K24" s="27">
        <f>IF(C24&lt;&gt;"",VALUE(LEFT(C24,2)),)</f>
        <v>8</v>
      </c>
      <c r="L24" s="7" t="str">
        <f>IF(C24&lt;&gt;"",MID(C24,FIND(" ",C24)+1,FIND(" ",C24,FIND(" ",C24)+1)-FIND(" ",C24)-1),"")</f>
        <v>A500C</v>
      </c>
      <c r="M24" s="26">
        <f>IF(C24&lt;&gt;"",VALUE(RIGHT(C24,4)),)</f>
        <v>770</v>
      </c>
      <c r="N24" s="26">
        <f t="shared" ref="N24:N29" si="13">D24</f>
        <v>1</v>
      </c>
      <c r="P24" s="6" t="str">
        <f t="shared" ref="P24:P29" si="14">K24&amp;" А500C L = "&amp;M24</f>
        <v>8 А500C L = 770</v>
      </c>
      <c r="R24" s="6">
        <f>IF(K24=6,0.222,IF(K24=8,0.395,IF(K24=10,0.617,IF(K24=12,0.888,IF(K24=14,1.208,IF(K24=16,1.578,IF(K24=18,1.998,IF(K24=20,2.466,IF(K24=22,2.984,IF(K24=25,3.853,IF(K24=28,4.83,IF(K24=32,6.31,0))))))))))))</f>
        <v>0.39500000000000002</v>
      </c>
      <c r="T24" s="6">
        <f t="shared" ref="T24:T29" si="15">ROUND(M24/1000*R24,2)</f>
        <v>0.3</v>
      </c>
      <c r="U24" s="6">
        <f t="shared" ref="U24:U29" si="16">T24*N24</f>
        <v>0.3</v>
      </c>
      <c r="X24" s="13" t="str">
        <f>IF(AND($K24=X$2,$L24=X$1),$F24,"")</f>
        <v/>
      </c>
      <c r="Y24" s="13">
        <f t="shared" ref="X24:AG46" si="17">IF(AND($K24=Y$2,$L24=Y$1),$F24,"")</f>
        <v>0.3</v>
      </c>
      <c r="Z24" s="13" t="str">
        <f t="shared" si="17"/>
        <v/>
      </c>
      <c r="AA24" s="13" t="str">
        <f t="shared" si="17"/>
        <v/>
      </c>
      <c r="AB24" s="13" t="str">
        <f t="shared" si="17"/>
        <v/>
      </c>
      <c r="AC24" s="13" t="str">
        <f t="shared" si="17"/>
        <v/>
      </c>
      <c r="AD24" s="13" t="str">
        <f t="shared" si="17"/>
        <v/>
      </c>
      <c r="AE24" s="13" t="str">
        <f t="shared" si="17"/>
        <v/>
      </c>
      <c r="AF24" s="13" t="str">
        <f t="shared" si="17"/>
        <v/>
      </c>
      <c r="AG24" s="13" t="str">
        <f t="shared" si="17"/>
        <v/>
      </c>
      <c r="AH24" s="14"/>
      <c r="AI24" s="13" t="str">
        <f t="shared" ref="AI24:AR46" si="18">IF(AND($K24=AI$2,$L24=AI$1),$F24,"")</f>
        <v/>
      </c>
      <c r="AJ24" s="13" t="str">
        <f t="shared" si="18"/>
        <v/>
      </c>
      <c r="AK24" s="13" t="str">
        <f t="shared" si="18"/>
        <v/>
      </c>
      <c r="AL24" s="13" t="str">
        <f t="shared" si="18"/>
        <v/>
      </c>
      <c r="AM24" s="13" t="str">
        <f t="shared" si="18"/>
        <v/>
      </c>
      <c r="AN24" s="13" t="str">
        <f t="shared" si="18"/>
        <v/>
      </c>
      <c r="AO24" s="13" t="str">
        <f t="shared" si="18"/>
        <v/>
      </c>
      <c r="AP24" s="13" t="str">
        <f t="shared" si="18"/>
        <v/>
      </c>
      <c r="AQ24" s="13" t="str">
        <f t="shared" si="18"/>
        <v/>
      </c>
      <c r="AR24" s="13" t="str">
        <f t="shared" si="18"/>
        <v/>
      </c>
    </row>
    <row r="25" spans="1:44" ht="14.1" customHeight="1" x14ac:dyDescent="0.25">
      <c r="A25" s="17">
        <v>1054</v>
      </c>
      <c r="B25" s="17" t="s">
        <v>14</v>
      </c>
      <c r="C25" s="17" t="s">
        <v>39</v>
      </c>
      <c r="D25" s="17">
        <v>1</v>
      </c>
      <c r="E25" s="34">
        <f t="shared" ref="E25:E28" si="19">T25</f>
        <v>0.3</v>
      </c>
      <c r="F25" s="35">
        <f t="shared" si="12"/>
        <v>0.3</v>
      </c>
      <c r="G25" s="17">
        <v>0.16</v>
      </c>
      <c r="H25" s="18">
        <v>0.16</v>
      </c>
      <c r="I25" s="22">
        <f t="shared" si="5"/>
        <v>1054</v>
      </c>
      <c r="K25" s="27">
        <f t="shared" ref="K25:K28" si="20">IF(C25&lt;&gt;"",VALUE(LEFT(C25,2)),)</f>
        <v>8</v>
      </c>
      <c r="L25" s="7" t="str">
        <f t="shared" ref="L25:L28" si="21">IF(C25&lt;&gt;"",MID(C25,FIND(" ",C25)+1,FIND(" ",C25,FIND(" ",C25)+1)-FIND(" ",C25)-1),"")</f>
        <v>A500C</v>
      </c>
      <c r="M25" s="26">
        <f t="shared" ref="M25:M28" si="22">IF(C25&lt;&gt;"",VALUE(RIGHT(C25,4)),)</f>
        <v>770</v>
      </c>
      <c r="N25" s="26">
        <f t="shared" si="13"/>
        <v>1</v>
      </c>
      <c r="P25" s="6" t="str">
        <f t="shared" si="14"/>
        <v>8 А500C L = 770</v>
      </c>
      <c r="R25" s="6">
        <f t="shared" ref="R25:R28" si="23">IF(K25=6,0.222,IF(K25=8,0.395,IF(K25=10,0.617,IF(K25=12,0.888,IF(K25=14,1.208,IF(K25=16,1.578,IF(K25=18,1.998,IF(K25=20,2.466,IF(K25=22,2.984,IF(K25=25,3.853,IF(K25=28,4.83,IF(K25=32,6.31,0))))))))))))</f>
        <v>0.39500000000000002</v>
      </c>
      <c r="T25" s="6">
        <f t="shared" si="15"/>
        <v>0.3</v>
      </c>
      <c r="U25" s="6">
        <f t="shared" si="16"/>
        <v>0.3</v>
      </c>
      <c r="X25" s="13" t="str">
        <f t="shared" si="17"/>
        <v/>
      </c>
      <c r="Y25" s="13">
        <f t="shared" si="17"/>
        <v>0.3</v>
      </c>
      <c r="Z25" s="13" t="str">
        <f t="shared" si="17"/>
        <v/>
      </c>
      <c r="AA25" s="13" t="str">
        <f t="shared" si="17"/>
        <v/>
      </c>
      <c r="AB25" s="13" t="str">
        <f t="shared" si="17"/>
        <v/>
      </c>
      <c r="AC25" s="13" t="str">
        <f t="shared" si="17"/>
        <v/>
      </c>
      <c r="AD25" s="13" t="str">
        <f t="shared" si="17"/>
        <v/>
      </c>
      <c r="AE25" s="13" t="str">
        <f t="shared" si="17"/>
        <v/>
      </c>
      <c r="AF25" s="13" t="str">
        <f t="shared" si="17"/>
        <v/>
      </c>
      <c r="AG25" s="13" t="str">
        <f t="shared" si="17"/>
        <v/>
      </c>
      <c r="AH25" s="14"/>
      <c r="AI25" s="13" t="str">
        <f t="shared" si="18"/>
        <v/>
      </c>
      <c r="AJ25" s="13" t="str">
        <f t="shared" si="18"/>
        <v/>
      </c>
      <c r="AK25" s="13" t="str">
        <f t="shared" si="18"/>
        <v/>
      </c>
      <c r="AL25" s="13" t="str">
        <f t="shared" si="18"/>
        <v/>
      </c>
      <c r="AM25" s="13" t="str">
        <f t="shared" si="18"/>
        <v/>
      </c>
      <c r="AN25" s="13" t="str">
        <f t="shared" si="18"/>
        <v/>
      </c>
      <c r="AO25" s="13" t="str">
        <f t="shared" si="18"/>
        <v/>
      </c>
      <c r="AP25" s="13" t="str">
        <f t="shared" si="18"/>
        <v/>
      </c>
      <c r="AQ25" s="13" t="str">
        <f t="shared" si="18"/>
        <v/>
      </c>
      <c r="AR25" s="13" t="str">
        <f t="shared" si="18"/>
        <v/>
      </c>
    </row>
    <row r="26" spans="1:44" ht="14.1" customHeight="1" x14ac:dyDescent="0.25">
      <c r="A26" s="17">
        <v>1054</v>
      </c>
      <c r="B26" s="17" t="s">
        <v>14</v>
      </c>
      <c r="C26" s="17" t="s">
        <v>39</v>
      </c>
      <c r="D26" s="17">
        <v>1</v>
      </c>
      <c r="E26" s="34">
        <f t="shared" si="19"/>
        <v>0.3</v>
      </c>
      <c r="F26" s="35">
        <f t="shared" si="12"/>
        <v>0.3</v>
      </c>
      <c r="G26" s="17">
        <v>0.16</v>
      </c>
      <c r="H26" s="18">
        <v>0.16</v>
      </c>
      <c r="I26" s="22">
        <f t="shared" si="5"/>
        <v>1054</v>
      </c>
      <c r="K26" s="27">
        <f t="shared" si="20"/>
        <v>8</v>
      </c>
      <c r="L26" s="7" t="str">
        <f t="shared" si="21"/>
        <v>A500C</v>
      </c>
      <c r="M26" s="26">
        <f t="shared" si="22"/>
        <v>770</v>
      </c>
      <c r="N26" s="26">
        <f t="shared" si="13"/>
        <v>1</v>
      </c>
      <c r="P26" s="6" t="str">
        <f t="shared" si="14"/>
        <v>8 А500C L = 770</v>
      </c>
      <c r="R26" s="6">
        <f t="shared" si="23"/>
        <v>0.39500000000000002</v>
      </c>
      <c r="T26" s="6">
        <f t="shared" si="15"/>
        <v>0.3</v>
      </c>
      <c r="U26" s="6">
        <f t="shared" si="16"/>
        <v>0.3</v>
      </c>
      <c r="X26" s="13" t="str">
        <f t="shared" si="17"/>
        <v/>
      </c>
      <c r="Y26" s="13">
        <f t="shared" si="17"/>
        <v>0.3</v>
      </c>
      <c r="Z26" s="13" t="str">
        <f t="shared" si="17"/>
        <v/>
      </c>
      <c r="AA26" s="13" t="str">
        <f t="shared" si="17"/>
        <v/>
      </c>
      <c r="AB26" s="13" t="str">
        <f t="shared" si="17"/>
        <v/>
      </c>
      <c r="AC26" s="13" t="str">
        <f t="shared" si="17"/>
        <v/>
      </c>
      <c r="AD26" s="13" t="str">
        <f t="shared" si="17"/>
        <v/>
      </c>
      <c r="AE26" s="13" t="str">
        <f t="shared" si="17"/>
        <v/>
      </c>
      <c r="AF26" s="13" t="str">
        <f t="shared" si="17"/>
        <v/>
      </c>
      <c r="AG26" s="13" t="str">
        <f t="shared" si="17"/>
        <v/>
      </c>
      <c r="AH26" s="14"/>
      <c r="AI26" s="13" t="str">
        <f t="shared" si="18"/>
        <v/>
      </c>
      <c r="AJ26" s="13" t="str">
        <f t="shared" si="18"/>
        <v/>
      </c>
      <c r="AK26" s="13" t="str">
        <f t="shared" si="18"/>
        <v/>
      </c>
      <c r="AL26" s="13" t="str">
        <f t="shared" si="18"/>
        <v/>
      </c>
      <c r="AM26" s="13" t="str">
        <f t="shared" si="18"/>
        <v/>
      </c>
      <c r="AN26" s="13" t="str">
        <f t="shared" si="18"/>
        <v/>
      </c>
      <c r="AO26" s="13" t="str">
        <f t="shared" si="18"/>
        <v/>
      </c>
      <c r="AP26" s="13" t="str">
        <f t="shared" si="18"/>
        <v/>
      </c>
      <c r="AQ26" s="13" t="str">
        <f t="shared" si="18"/>
        <v/>
      </c>
      <c r="AR26" s="13" t="str">
        <f t="shared" si="18"/>
        <v/>
      </c>
    </row>
    <row r="27" spans="1:44" ht="14.1" customHeight="1" x14ac:dyDescent="0.25">
      <c r="A27" s="17">
        <v>1054</v>
      </c>
      <c r="B27" s="17" t="s">
        <v>14</v>
      </c>
      <c r="C27" s="17" t="s">
        <v>39</v>
      </c>
      <c r="D27" s="17">
        <v>1</v>
      </c>
      <c r="E27" s="34">
        <f t="shared" si="19"/>
        <v>0.3</v>
      </c>
      <c r="F27" s="35">
        <f t="shared" si="12"/>
        <v>0.3</v>
      </c>
      <c r="G27" s="17">
        <v>0.16</v>
      </c>
      <c r="H27" s="18">
        <v>0.16</v>
      </c>
      <c r="I27" s="22">
        <f t="shared" si="5"/>
        <v>1054</v>
      </c>
      <c r="K27" s="27">
        <f t="shared" si="20"/>
        <v>8</v>
      </c>
      <c r="L27" s="7" t="str">
        <f t="shared" si="21"/>
        <v>A500C</v>
      </c>
      <c r="M27" s="26">
        <f t="shared" si="22"/>
        <v>770</v>
      </c>
      <c r="N27" s="26">
        <f t="shared" si="13"/>
        <v>1</v>
      </c>
      <c r="P27" s="6" t="str">
        <f t="shared" si="14"/>
        <v>8 А500C L = 770</v>
      </c>
      <c r="R27" s="6">
        <f t="shared" si="23"/>
        <v>0.39500000000000002</v>
      </c>
      <c r="T27" s="6">
        <f t="shared" si="15"/>
        <v>0.3</v>
      </c>
      <c r="U27" s="6">
        <f t="shared" si="16"/>
        <v>0.3</v>
      </c>
      <c r="X27" s="13" t="str">
        <f t="shared" si="17"/>
        <v/>
      </c>
      <c r="Y27" s="13">
        <f t="shared" si="17"/>
        <v>0.3</v>
      </c>
      <c r="Z27" s="13" t="str">
        <f t="shared" si="17"/>
        <v/>
      </c>
      <c r="AA27" s="13" t="str">
        <f t="shared" si="17"/>
        <v/>
      </c>
      <c r="AB27" s="13" t="str">
        <f t="shared" si="17"/>
        <v/>
      </c>
      <c r="AC27" s="13" t="str">
        <f t="shared" si="17"/>
        <v/>
      </c>
      <c r="AD27" s="13" t="str">
        <f t="shared" si="17"/>
        <v/>
      </c>
      <c r="AE27" s="13" t="str">
        <f t="shared" si="17"/>
        <v/>
      </c>
      <c r="AF27" s="13" t="str">
        <f t="shared" si="17"/>
        <v/>
      </c>
      <c r="AG27" s="13" t="str">
        <f t="shared" si="17"/>
        <v/>
      </c>
      <c r="AH27" s="14"/>
      <c r="AI27" s="13" t="str">
        <f t="shared" si="18"/>
        <v/>
      </c>
      <c r="AJ27" s="13" t="str">
        <f t="shared" si="18"/>
        <v/>
      </c>
      <c r="AK27" s="13" t="str">
        <f t="shared" si="18"/>
        <v/>
      </c>
      <c r="AL27" s="13" t="str">
        <f t="shared" si="18"/>
        <v/>
      </c>
      <c r="AM27" s="13" t="str">
        <f t="shared" si="18"/>
        <v/>
      </c>
      <c r="AN27" s="13" t="str">
        <f t="shared" si="18"/>
        <v/>
      </c>
      <c r="AO27" s="13" t="str">
        <f t="shared" si="18"/>
        <v/>
      </c>
      <c r="AP27" s="13" t="str">
        <f t="shared" si="18"/>
        <v/>
      </c>
      <c r="AQ27" s="13" t="str">
        <f t="shared" si="18"/>
        <v/>
      </c>
      <c r="AR27" s="13" t="str">
        <f t="shared" si="18"/>
        <v/>
      </c>
    </row>
    <row r="28" spans="1:44" ht="14.1" customHeight="1" x14ac:dyDescent="0.25">
      <c r="A28" s="17">
        <v>1054</v>
      </c>
      <c r="B28" s="17" t="s">
        <v>14</v>
      </c>
      <c r="C28" s="17" t="s">
        <v>39</v>
      </c>
      <c r="D28" s="17">
        <v>1</v>
      </c>
      <c r="E28" s="34">
        <f t="shared" si="19"/>
        <v>0.3</v>
      </c>
      <c r="F28" s="35">
        <f t="shared" si="12"/>
        <v>0.3</v>
      </c>
      <c r="G28" s="17">
        <v>0.16</v>
      </c>
      <c r="H28" s="18">
        <v>0.16</v>
      </c>
      <c r="I28" s="22">
        <f t="shared" si="5"/>
        <v>1054</v>
      </c>
      <c r="K28" s="27">
        <f t="shared" si="20"/>
        <v>8</v>
      </c>
      <c r="L28" s="7" t="str">
        <f t="shared" si="21"/>
        <v>A500C</v>
      </c>
      <c r="M28" s="26">
        <f t="shared" si="22"/>
        <v>770</v>
      </c>
      <c r="N28" s="26">
        <f t="shared" si="13"/>
        <v>1</v>
      </c>
      <c r="P28" s="6" t="str">
        <f t="shared" si="14"/>
        <v>8 А500C L = 770</v>
      </c>
      <c r="R28" s="6">
        <f t="shared" si="23"/>
        <v>0.39500000000000002</v>
      </c>
      <c r="T28" s="6">
        <f t="shared" si="15"/>
        <v>0.3</v>
      </c>
      <c r="U28" s="6">
        <f t="shared" si="16"/>
        <v>0.3</v>
      </c>
      <c r="X28" s="13" t="str">
        <f t="shared" si="17"/>
        <v/>
      </c>
      <c r="Y28" s="13">
        <f t="shared" si="17"/>
        <v>0.3</v>
      </c>
      <c r="Z28" s="13" t="str">
        <f t="shared" si="17"/>
        <v/>
      </c>
      <c r="AA28" s="13" t="str">
        <f t="shared" si="17"/>
        <v/>
      </c>
      <c r="AB28" s="13" t="str">
        <f t="shared" si="17"/>
        <v/>
      </c>
      <c r="AC28" s="13" t="str">
        <f t="shared" si="17"/>
        <v/>
      </c>
      <c r="AD28" s="13" t="str">
        <f t="shared" si="17"/>
        <v/>
      </c>
      <c r="AE28" s="13" t="str">
        <f t="shared" si="17"/>
        <v/>
      </c>
      <c r="AF28" s="13" t="str">
        <f t="shared" si="17"/>
        <v/>
      </c>
      <c r="AG28" s="13" t="str">
        <f t="shared" si="17"/>
        <v/>
      </c>
      <c r="AH28" s="14"/>
      <c r="AI28" s="13" t="str">
        <f t="shared" si="18"/>
        <v/>
      </c>
      <c r="AJ28" s="13" t="str">
        <f t="shared" si="18"/>
        <v/>
      </c>
      <c r="AK28" s="13" t="str">
        <f t="shared" si="18"/>
        <v/>
      </c>
      <c r="AL28" s="13" t="str">
        <f t="shared" si="18"/>
        <v/>
      </c>
      <c r="AM28" s="13" t="str">
        <f t="shared" si="18"/>
        <v/>
      </c>
      <c r="AN28" s="13" t="str">
        <f t="shared" si="18"/>
        <v/>
      </c>
      <c r="AO28" s="13" t="str">
        <f t="shared" si="18"/>
        <v/>
      </c>
      <c r="AP28" s="13" t="str">
        <f t="shared" si="18"/>
        <v/>
      </c>
      <c r="AQ28" s="13" t="str">
        <f t="shared" si="18"/>
        <v/>
      </c>
      <c r="AR28" s="13" t="str">
        <f t="shared" si="18"/>
        <v/>
      </c>
    </row>
    <row r="29" spans="1:44" ht="14.1" customHeight="1" x14ac:dyDescent="0.25">
      <c r="A29" s="17">
        <v>1054</v>
      </c>
      <c r="B29" s="17" t="s">
        <v>14</v>
      </c>
      <c r="C29" s="17" t="s">
        <v>39</v>
      </c>
      <c r="D29" s="17">
        <v>1</v>
      </c>
      <c r="E29" s="34">
        <f t="shared" ref="E29" si="24">T29</f>
        <v>0.3</v>
      </c>
      <c r="F29" s="35">
        <f t="shared" si="12"/>
        <v>0.3</v>
      </c>
      <c r="G29" s="17">
        <v>0.16</v>
      </c>
      <c r="H29" s="18">
        <v>0.16</v>
      </c>
      <c r="I29" s="22">
        <f t="shared" ref="I29" si="25">A29</f>
        <v>1054</v>
      </c>
      <c r="K29" s="27">
        <f t="shared" ref="K29:K33" si="26">IF(C29&lt;&gt;"",VALUE(LEFT(C29,2)),)</f>
        <v>8</v>
      </c>
      <c r="L29" s="7" t="str">
        <f t="shared" ref="L29:L33" si="27">IF(C29&lt;&gt;"",MID(C29,FIND(" ",C29)+1,FIND(" ",C29,FIND(" ",C29)+1)-FIND(" ",C29)-1),"")</f>
        <v>A500C</v>
      </c>
      <c r="M29" s="26">
        <f t="shared" ref="M29:M33" si="28">IF(C29&lt;&gt;"",VALUE(RIGHT(C29,4)),)</f>
        <v>770</v>
      </c>
      <c r="N29" s="26">
        <f t="shared" si="13"/>
        <v>1</v>
      </c>
      <c r="P29" s="6" t="str">
        <f t="shared" si="14"/>
        <v>8 А500C L = 770</v>
      </c>
      <c r="R29" s="6">
        <f t="shared" ref="R29:R105" si="29">IF(K29=6,0.222,IF(K29=8,0.395,IF(K29=10,0.617,IF(K29=12,0.888,IF(K29=14,1.208,IF(K29=16,1.578,IF(K29=18,1.998,IF(K29=20,2.466,IF(K29=22,2.984,IF(K29=25,3.853,IF(K29=28,4.83,IF(K29=32,6.31,0))))))))))))</f>
        <v>0.39500000000000002</v>
      </c>
      <c r="T29" s="6">
        <f t="shared" si="15"/>
        <v>0.3</v>
      </c>
      <c r="U29" s="6">
        <f t="shared" si="16"/>
        <v>0.3</v>
      </c>
      <c r="X29" s="13" t="str">
        <f t="shared" si="17"/>
        <v/>
      </c>
      <c r="Y29" s="13">
        <f t="shared" si="17"/>
        <v>0.3</v>
      </c>
      <c r="Z29" s="13" t="str">
        <f t="shared" si="17"/>
        <v/>
      </c>
      <c r="AA29" s="13" t="str">
        <f t="shared" si="17"/>
        <v/>
      </c>
      <c r="AB29" s="13" t="str">
        <f t="shared" si="17"/>
        <v/>
      </c>
      <c r="AC29" s="13" t="str">
        <f t="shared" si="17"/>
        <v/>
      </c>
      <c r="AD29" s="13" t="str">
        <f t="shared" si="17"/>
        <v/>
      </c>
      <c r="AE29" s="13" t="str">
        <f t="shared" si="17"/>
        <v/>
      </c>
      <c r="AF29" s="13" t="str">
        <f t="shared" si="17"/>
        <v/>
      </c>
      <c r="AG29" s="13" t="str">
        <f t="shared" si="17"/>
        <v/>
      </c>
      <c r="AH29" s="14"/>
      <c r="AI29" s="13" t="str">
        <f t="shared" si="18"/>
        <v/>
      </c>
      <c r="AJ29" s="13" t="str">
        <f t="shared" si="18"/>
        <v/>
      </c>
      <c r="AK29" s="13" t="str">
        <f t="shared" si="18"/>
        <v/>
      </c>
      <c r="AL29" s="13" t="str">
        <f t="shared" si="18"/>
        <v/>
      </c>
      <c r="AM29" s="13" t="str">
        <f t="shared" si="18"/>
        <v/>
      </c>
      <c r="AN29" s="13" t="str">
        <f t="shared" si="18"/>
        <v/>
      </c>
      <c r="AO29" s="13" t="str">
        <f t="shared" si="18"/>
        <v/>
      </c>
      <c r="AP29" s="13" t="str">
        <f t="shared" si="18"/>
        <v/>
      </c>
      <c r="AQ29" s="13" t="str">
        <f t="shared" si="18"/>
        <v/>
      </c>
      <c r="AR29" s="13" t="str">
        <f t="shared" si="18"/>
        <v/>
      </c>
    </row>
    <row r="30" spans="1:44" ht="14.1" customHeight="1" x14ac:dyDescent="0.25">
      <c r="A30" s="17">
        <v>1054</v>
      </c>
      <c r="B30" s="17" t="s">
        <v>14</v>
      </c>
      <c r="C30" s="17" t="s">
        <v>39</v>
      </c>
      <c r="D30" s="17">
        <v>1</v>
      </c>
      <c r="E30" s="34">
        <f t="shared" ref="E30:E33" si="30">T30</f>
        <v>0.3</v>
      </c>
      <c r="F30" s="35">
        <f t="shared" ref="F30:F33" si="31">U30</f>
        <v>0.3</v>
      </c>
      <c r="G30" s="17">
        <v>0.16</v>
      </c>
      <c r="H30" s="18">
        <v>0.16</v>
      </c>
      <c r="I30" s="22">
        <f t="shared" ref="I30:I33" si="32">A30</f>
        <v>1054</v>
      </c>
      <c r="K30" s="27">
        <f t="shared" si="26"/>
        <v>8</v>
      </c>
      <c r="L30" s="7" t="str">
        <f t="shared" si="27"/>
        <v>A500C</v>
      </c>
      <c r="M30" s="26">
        <f t="shared" si="28"/>
        <v>770</v>
      </c>
      <c r="N30" s="26">
        <f t="shared" ref="N30:N33" si="33">D30</f>
        <v>1</v>
      </c>
      <c r="P30" s="6" t="str">
        <f t="shared" ref="P30:P33" si="34">K30&amp;" А500C L = "&amp;M30</f>
        <v>8 А500C L = 770</v>
      </c>
      <c r="R30" s="6">
        <f t="shared" si="29"/>
        <v>0.39500000000000002</v>
      </c>
      <c r="T30" s="6">
        <f t="shared" ref="T30:T33" si="35">ROUND(M30/1000*R30,2)</f>
        <v>0.3</v>
      </c>
      <c r="U30" s="6">
        <f t="shared" ref="U30:U33" si="36">T30*N30</f>
        <v>0.3</v>
      </c>
      <c r="X30" s="13" t="str">
        <f t="shared" si="17"/>
        <v/>
      </c>
      <c r="Y30" s="13">
        <f t="shared" si="17"/>
        <v>0.3</v>
      </c>
      <c r="Z30" s="13" t="str">
        <f t="shared" si="17"/>
        <v/>
      </c>
      <c r="AA30" s="13" t="str">
        <f t="shared" si="17"/>
        <v/>
      </c>
      <c r="AB30" s="13" t="str">
        <f t="shared" si="17"/>
        <v/>
      </c>
      <c r="AC30" s="13" t="str">
        <f t="shared" si="17"/>
        <v/>
      </c>
      <c r="AD30" s="13" t="str">
        <f t="shared" si="17"/>
        <v/>
      </c>
      <c r="AE30" s="13" t="str">
        <f t="shared" si="17"/>
        <v/>
      </c>
      <c r="AF30" s="13" t="str">
        <f t="shared" si="17"/>
        <v/>
      </c>
      <c r="AG30" s="13" t="str">
        <f t="shared" si="17"/>
        <v/>
      </c>
      <c r="AH30" s="14"/>
      <c r="AI30" s="13" t="str">
        <f t="shared" si="18"/>
        <v/>
      </c>
      <c r="AJ30" s="13" t="str">
        <f t="shared" si="18"/>
        <v/>
      </c>
      <c r="AK30" s="13" t="str">
        <f t="shared" si="18"/>
        <v/>
      </c>
      <c r="AL30" s="13" t="str">
        <f t="shared" si="18"/>
        <v/>
      </c>
      <c r="AM30" s="13" t="str">
        <f t="shared" si="18"/>
        <v/>
      </c>
      <c r="AN30" s="13" t="str">
        <f t="shared" si="18"/>
        <v/>
      </c>
      <c r="AO30" s="13" t="str">
        <f t="shared" si="18"/>
        <v/>
      </c>
      <c r="AP30" s="13" t="str">
        <f t="shared" si="18"/>
        <v/>
      </c>
      <c r="AQ30" s="13" t="str">
        <f t="shared" si="18"/>
        <v/>
      </c>
      <c r="AR30" s="13" t="str">
        <f t="shared" si="18"/>
        <v/>
      </c>
    </row>
    <row r="31" spans="1:44" ht="14.1" customHeight="1" x14ac:dyDescent="0.25">
      <c r="A31" s="17">
        <v>1054</v>
      </c>
      <c r="B31" s="17" t="s">
        <v>14</v>
      </c>
      <c r="C31" s="17" t="s">
        <v>39</v>
      </c>
      <c r="D31" s="17">
        <v>1</v>
      </c>
      <c r="E31" s="34">
        <f t="shared" si="30"/>
        <v>0.3</v>
      </c>
      <c r="F31" s="35">
        <f t="shared" si="31"/>
        <v>0.3</v>
      </c>
      <c r="G31" s="17">
        <v>0.16</v>
      </c>
      <c r="H31" s="18">
        <v>0.16</v>
      </c>
      <c r="I31" s="22">
        <f t="shared" si="32"/>
        <v>1054</v>
      </c>
      <c r="K31" s="27">
        <f t="shared" si="26"/>
        <v>8</v>
      </c>
      <c r="L31" s="7" t="str">
        <f t="shared" si="27"/>
        <v>A500C</v>
      </c>
      <c r="M31" s="26">
        <f t="shared" si="28"/>
        <v>770</v>
      </c>
      <c r="N31" s="26">
        <f t="shared" si="33"/>
        <v>1</v>
      </c>
      <c r="P31" s="6" t="str">
        <f t="shared" si="34"/>
        <v>8 А500C L = 770</v>
      </c>
      <c r="R31" s="6">
        <f t="shared" si="29"/>
        <v>0.39500000000000002</v>
      </c>
      <c r="T31" s="6">
        <f t="shared" si="35"/>
        <v>0.3</v>
      </c>
      <c r="U31" s="6">
        <f t="shared" si="36"/>
        <v>0.3</v>
      </c>
      <c r="X31" s="13" t="str">
        <f t="shared" si="17"/>
        <v/>
      </c>
      <c r="Y31" s="13">
        <f t="shared" si="17"/>
        <v>0.3</v>
      </c>
      <c r="Z31" s="13" t="str">
        <f t="shared" si="17"/>
        <v/>
      </c>
      <c r="AA31" s="13" t="str">
        <f t="shared" si="17"/>
        <v/>
      </c>
      <c r="AB31" s="13" t="str">
        <f t="shared" si="17"/>
        <v/>
      </c>
      <c r="AC31" s="13" t="str">
        <f t="shared" si="17"/>
        <v/>
      </c>
      <c r="AD31" s="13" t="str">
        <f t="shared" si="17"/>
        <v/>
      </c>
      <c r="AE31" s="13" t="str">
        <f t="shared" si="17"/>
        <v/>
      </c>
      <c r="AF31" s="13" t="str">
        <f t="shared" si="17"/>
        <v/>
      </c>
      <c r="AG31" s="13" t="str">
        <f t="shared" si="17"/>
        <v/>
      </c>
      <c r="AH31" s="14"/>
      <c r="AI31" s="13" t="str">
        <f t="shared" si="18"/>
        <v/>
      </c>
      <c r="AJ31" s="13" t="str">
        <f t="shared" si="18"/>
        <v/>
      </c>
      <c r="AK31" s="13" t="str">
        <f t="shared" si="18"/>
        <v/>
      </c>
      <c r="AL31" s="13" t="str">
        <f t="shared" si="18"/>
        <v/>
      </c>
      <c r="AM31" s="13" t="str">
        <f t="shared" si="18"/>
        <v/>
      </c>
      <c r="AN31" s="13" t="str">
        <f t="shared" si="18"/>
        <v/>
      </c>
      <c r="AO31" s="13" t="str">
        <f t="shared" si="18"/>
        <v/>
      </c>
      <c r="AP31" s="13" t="str">
        <f t="shared" si="18"/>
        <v/>
      </c>
      <c r="AQ31" s="13" t="str">
        <f t="shared" si="18"/>
        <v/>
      </c>
      <c r="AR31" s="13" t="str">
        <f t="shared" si="18"/>
        <v/>
      </c>
    </row>
    <row r="32" spans="1:44" ht="14.1" customHeight="1" x14ac:dyDescent="0.25">
      <c r="A32" s="17">
        <v>1054</v>
      </c>
      <c r="B32" s="17" t="s">
        <v>14</v>
      </c>
      <c r="C32" s="17" t="s">
        <v>39</v>
      </c>
      <c r="D32" s="17">
        <v>1</v>
      </c>
      <c r="E32" s="34">
        <f t="shared" si="30"/>
        <v>0.3</v>
      </c>
      <c r="F32" s="35">
        <f t="shared" si="31"/>
        <v>0.3</v>
      </c>
      <c r="G32" s="17">
        <v>0.16</v>
      </c>
      <c r="H32" s="18">
        <v>0.16</v>
      </c>
      <c r="I32" s="22">
        <f t="shared" si="32"/>
        <v>1054</v>
      </c>
      <c r="K32" s="27">
        <f t="shared" si="26"/>
        <v>8</v>
      </c>
      <c r="L32" s="7" t="str">
        <f t="shared" si="27"/>
        <v>A500C</v>
      </c>
      <c r="M32" s="26">
        <f t="shared" si="28"/>
        <v>770</v>
      </c>
      <c r="N32" s="26">
        <f t="shared" si="33"/>
        <v>1</v>
      </c>
      <c r="P32" s="6" t="str">
        <f t="shared" si="34"/>
        <v>8 А500C L = 770</v>
      </c>
      <c r="R32" s="6">
        <f t="shared" si="29"/>
        <v>0.39500000000000002</v>
      </c>
      <c r="T32" s="6">
        <f t="shared" si="35"/>
        <v>0.3</v>
      </c>
      <c r="U32" s="6">
        <f t="shared" si="36"/>
        <v>0.3</v>
      </c>
      <c r="X32" s="13" t="str">
        <f t="shared" si="17"/>
        <v/>
      </c>
      <c r="Y32" s="13">
        <f t="shared" si="17"/>
        <v>0.3</v>
      </c>
      <c r="Z32" s="13" t="str">
        <f t="shared" si="17"/>
        <v/>
      </c>
      <c r="AA32" s="13" t="str">
        <f t="shared" si="17"/>
        <v/>
      </c>
      <c r="AB32" s="13" t="str">
        <f t="shared" si="17"/>
        <v/>
      </c>
      <c r="AC32" s="13" t="str">
        <f t="shared" si="17"/>
        <v/>
      </c>
      <c r="AD32" s="13" t="str">
        <f t="shared" si="17"/>
        <v/>
      </c>
      <c r="AE32" s="13" t="str">
        <f t="shared" si="17"/>
        <v/>
      </c>
      <c r="AF32" s="13" t="str">
        <f t="shared" si="17"/>
        <v/>
      </c>
      <c r="AG32" s="13" t="str">
        <f t="shared" si="17"/>
        <v/>
      </c>
      <c r="AH32" s="14"/>
      <c r="AI32" s="13" t="str">
        <f t="shared" si="18"/>
        <v/>
      </c>
      <c r="AJ32" s="13" t="str">
        <f t="shared" si="18"/>
        <v/>
      </c>
      <c r="AK32" s="13" t="str">
        <f t="shared" si="18"/>
        <v/>
      </c>
      <c r="AL32" s="13" t="str">
        <f t="shared" si="18"/>
        <v/>
      </c>
      <c r="AM32" s="13" t="str">
        <f t="shared" si="18"/>
        <v/>
      </c>
      <c r="AN32" s="13" t="str">
        <f t="shared" si="18"/>
        <v/>
      </c>
      <c r="AO32" s="13" t="str">
        <f t="shared" si="18"/>
        <v/>
      </c>
      <c r="AP32" s="13" t="str">
        <f t="shared" si="18"/>
        <v/>
      </c>
      <c r="AQ32" s="13" t="str">
        <f t="shared" si="18"/>
        <v/>
      </c>
      <c r="AR32" s="13" t="str">
        <f t="shared" si="18"/>
        <v/>
      </c>
    </row>
    <row r="33" spans="1:44" ht="14.1" customHeight="1" x14ac:dyDescent="0.25">
      <c r="A33" s="17">
        <v>1054</v>
      </c>
      <c r="B33" s="17" t="s">
        <v>14</v>
      </c>
      <c r="C33" s="17" t="s">
        <v>39</v>
      </c>
      <c r="D33" s="17">
        <v>1</v>
      </c>
      <c r="E33" s="34">
        <f t="shared" si="30"/>
        <v>0.3</v>
      </c>
      <c r="F33" s="35">
        <f t="shared" si="31"/>
        <v>0.3</v>
      </c>
      <c r="G33" s="17">
        <v>0.16</v>
      </c>
      <c r="H33" s="18">
        <v>0.16</v>
      </c>
      <c r="I33" s="22">
        <f t="shared" si="32"/>
        <v>1054</v>
      </c>
      <c r="K33" s="27">
        <f t="shared" si="26"/>
        <v>8</v>
      </c>
      <c r="L33" s="7" t="str">
        <f t="shared" si="27"/>
        <v>A500C</v>
      </c>
      <c r="M33" s="26">
        <f t="shared" si="28"/>
        <v>770</v>
      </c>
      <c r="N33" s="26">
        <f t="shared" si="33"/>
        <v>1</v>
      </c>
      <c r="P33" s="6" t="str">
        <f t="shared" si="34"/>
        <v>8 А500C L = 770</v>
      </c>
      <c r="R33" s="6">
        <f t="shared" si="29"/>
        <v>0.39500000000000002</v>
      </c>
      <c r="T33" s="6">
        <f t="shared" si="35"/>
        <v>0.3</v>
      </c>
      <c r="U33" s="6">
        <f t="shared" si="36"/>
        <v>0.3</v>
      </c>
      <c r="X33" s="13" t="str">
        <f t="shared" si="17"/>
        <v/>
      </c>
      <c r="Y33" s="13">
        <f t="shared" si="17"/>
        <v>0.3</v>
      </c>
      <c r="Z33" s="13" t="str">
        <f t="shared" si="17"/>
        <v/>
      </c>
      <c r="AA33" s="13" t="str">
        <f t="shared" si="17"/>
        <v/>
      </c>
      <c r="AB33" s="13" t="str">
        <f t="shared" si="17"/>
        <v/>
      </c>
      <c r="AC33" s="13" t="str">
        <f t="shared" si="17"/>
        <v/>
      </c>
      <c r="AD33" s="13" t="str">
        <f t="shared" si="17"/>
        <v/>
      </c>
      <c r="AE33" s="13" t="str">
        <f t="shared" si="17"/>
        <v/>
      </c>
      <c r="AF33" s="13" t="str">
        <f t="shared" si="17"/>
        <v/>
      </c>
      <c r="AG33" s="13" t="str">
        <f t="shared" si="17"/>
        <v/>
      </c>
      <c r="AH33" s="14"/>
      <c r="AI33" s="13" t="str">
        <f t="shared" si="18"/>
        <v/>
      </c>
      <c r="AJ33" s="13" t="str">
        <f t="shared" si="18"/>
        <v/>
      </c>
      <c r="AK33" s="13" t="str">
        <f t="shared" si="18"/>
        <v/>
      </c>
      <c r="AL33" s="13" t="str">
        <f t="shared" si="18"/>
        <v/>
      </c>
      <c r="AM33" s="13" t="str">
        <f t="shared" si="18"/>
        <v/>
      </c>
      <c r="AN33" s="13" t="str">
        <f t="shared" si="18"/>
        <v/>
      </c>
      <c r="AO33" s="13" t="str">
        <f t="shared" si="18"/>
        <v/>
      </c>
      <c r="AP33" s="13" t="str">
        <f t="shared" si="18"/>
        <v/>
      </c>
      <c r="AQ33" s="13" t="str">
        <f t="shared" si="18"/>
        <v/>
      </c>
      <c r="AR33" s="13" t="str">
        <f t="shared" si="18"/>
        <v/>
      </c>
    </row>
    <row r="34" spans="1:44" ht="14.1" customHeight="1" x14ac:dyDescent="0.25">
      <c r="A34" s="30"/>
      <c r="B34" s="3"/>
      <c r="C34" s="33" t="s">
        <v>38</v>
      </c>
      <c r="D34" s="3">
        <v>1</v>
      </c>
      <c r="E34" s="23">
        <f>SUM(F35:F44)</f>
        <v>2.9999999999999996</v>
      </c>
      <c r="F34" s="24">
        <f>D34*E34</f>
        <v>2.9999999999999996</v>
      </c>
      <c r="G34" s="17">
        <v>65.900000000000006</v>
      </c>
      <c r="H34" s="18">
        <v>65.900000000000006</v>
      </c>
      <c r="I34" s="22">
        <f t="shared" ref="I34:I44" si="37">A34</f>
        <v>0</v>
      </c>
      <c r="K34" s="27"/>
      <c r="L34" s="7"/>
      <c r="M34" s="26"/>
      <c r="N34" s="26"/>
      <c r="P34" s="6"/>
      <c r="R34" s="6">
        <f t="shared" si="29"/>
        <v>0</v>
      </c>
      <c r="T34" s="6"/>
      <c r="U34" s="6"/>
      <c r="X34" s="13" t="str">
        <f t="shared" si="10"/>
        <v/>
      </c>
      <c r="Y34" s="13" t="str">
        <f t="shared" si="10"/>
        <v/>
      </c>
      <c r="Z34" s="13" t="str">
        <f t="shared" si="10"/>
        <v/>
      </c>
      <c r="AA34" s="13" t="str">
        <f t="shared" si="10"/>
        <v/>
      </c>
      <c r="AB34" s="13" t="str">
        <f t="shared" si="10"/>
        <v/>
      </c>
      <c r="AC34" s="13" t="str">
        <f t="shared" si="10"/>
        <v/>
      </c>
      <c r="AD34" s="13" t="str">
        <f t="shared" si="10"/>
        <v/>
      </c>
      <c r="AE34" s="13" t="str">
        <f t="shared" si="10"/>
        <v/>
      </c>
      <c r="AF34" s="13" t="str">
        <f t="shared" si="10"/>
        <v/>
      </c>
      <c r="AG34" s="13" t="str">
        <f t="shared" si="10"/>
        <v/>
      </c>
      <c r="AH34" s="14"/>
      <c r="AI34" s="13" t="str">
        <f t="shared" si="11"/>
        <v/>
      </c>
      <c r="AJ34" s="13" t="str">
        <f t="shared" si="11"/>
        <v/>
      </c>
      <c r="AK34" s="13" t="str">
        <f t="shared" si="11"/>
        <v/>
      </c>
      <c r="AL34" s="13" t="str">
        <f t="shared" si="11"/>
        <v/>
      </c>
      <c r="AM34" s="13" t="str">
        <f t="shared" si="11"/>
        <v/>
      </c>
      <c r="AN34" s="13" t="str">
        <f t="shared" si="11"/>
        <v/>
      </c>
      <c r="AO34" s="13" t="str">
        <f t="shared" si="11"/>
        <v/>
      </c>
      <c r="AP34" s="13" t="str">
        <f t="shared" si="11"/>
        <v/>
      </c>
      <c r="AQ34" s="13" t="str">
        <f t="shared" si="11"/>
        <v/>
      </c>
      <c r="AR34" s="13" t="str">
        <f t="shared" si="11"/>
        <v/>
      </c>
    </row>
    <row r="35" spans="1:44" ht="14.1" customHeight="1" x14ac:dyDescent="0.25">
      <c r="A35" s="17">
        <v>1054</v>
      </c>
      <c r="B35" s="17" t="s">
        <v>14</v>
      </c>
      <c r="C35" s="17" t="s">
        <v>39</v>
      </c>
      <c r="D35" s="17">
        <v>1</v>
      </c>
      <c r="E35" s="34">
        <f t="shared" ref="E35:E44" si="38">T35</f>
        <v>0.3</v>
      </c>
      <c r="F35" s="35">
        <f t="shared" ref="F35:F44" si="39">U35</f>
        <v>0.3</v>
      </c>
      <c r="G35" s="17">
        <v>0.16</v>
      </c>
      <c r="H35" s="18">
        <v>0.16</v>
      </c>
      <c r="I35" s="22">
        <f t="shared" si="37"/>
        <v>1054</v>
      </c>
      <c r="K35" s="27">
        <f t="shared" ref="K35:K44" si="40">IF(C35&lt;&gt;"",VALUE(LEFT(C35,2)),)</f>
        <v>8</v>
      </c>
      <c r="L35" s="7" t="str">
        <f t="shared" ref="L35:L44" si="41">IF(C35&lt;&gt;"",MID(C35,FIND(" ",C35)+1,FIND(" ",C35,FIND(" ",C35)+1)-FIND(" ",C35)-1),"")</f>
        <v>A500C</v>
      </c>
      <c r="M35" s="26">
        <f t="shared" ref="M35:M44" si="42">IF(C35&lt;&gt;"",VALUE(RIGHT(C35,4)),)</f>
        <v>770</v>
      </c>
      <c r="N35" s="26">
        <f t="shared" ref="N35:N44" si="43">D35</f>
        <v>1</v>
      </c>
      <c r="P35" s="6" t="str">
        <f t="shared" ref="P35:P44" si="44">K35&amp;" А500C L = "&amp;M35</f>
        <v>8 А500C L = 770</v>
      </c>
      <c r="R35" s="6">
        <f t="shared" si="29"/>
        <v>0.39500000000000002</v>
      </c>
      <c r="T35" s="6">
        <f t="shared" ref="T35:T44" si="45">ROUND(M35/1000*R35,2)</f>
        <v>0.3</v>
      </c>
      <c r="U35" s="6">
        <f t="shared" ref="U35:U44" si="46">T35*N35</f>
        <v>0.3</v>
      </c>
      <c r="X35" s="13" t="str">
        <f t="shared" si="10"/>
        <v/>
      </c>
      <c r="Y35" s="13">
        <f t="shared" si="10"/>
        <v>0.3</v>
      </c>
      <c r="Z35" s="13" t="str">
        <f t="shared" si="10"/>
        <v/>
      </c>
      <c r="AA35" s="13" t="str">
        <f t="shared" si="10"/>
        <v/>
      </c>
      <c r="AB35" s="13" t="str">
        <f t="shared" si="10"/>
        <v/>
      </c>
      <c r="AC35" s="13" t="str">
        <f t="shared" si="10"/>
        <v/>
      </c>
      <c r="AD35" s="13" t="str">
        <f t="shared" si="10"/>
        <v/>
      </c>
      <c r="AE35" s="13" t="str">
        <f t="shared" si="10"/>
        <v/>
      </c>
      <c r="AF35" s="13" t="str">
        <f t="shared" si="10"/>
        <v/>
      </c>
      <c r="AG35" s="13" t="str">
        <f t="shared" si="10"/>
        <v/>
      </c>
      <c r="AH35" s="14"/>
      <c r="AI35" s="13" t="str">
        <f t="shared" si="11"/>
        <v/>
      </c>
      <c r="AJ35" s="13" t="str">
        <f t="shared" si="11"/>
        <v/>
      </c>
      <c r="AK35" s="13" t="str">
        <f t="shared" si="11"/>
        <v/>
      </c>
      <c r="AL35" s="13" t="str">
        <f t="shared" si="11"/>
        <v/>
      </c>
      <c r="AM35" s="13" t="str">
        <f t="shared" si="11"/>
        <v/>
      </c>
      <c r="AN35" s="13" t="str">
        <f t="shared" si="11"/>
        <v/>
      </c>
      <c r="AO35" s="13" t="str">
        <f t="shared" si="11"/>
        <v/>
      </c>
      <c r="AP35" s="13" t="str">
        <f t="shared" si="11"/>
        <v/>
      </c>
      <c r="AQ35" s="13" t="str">
        <f t="shared" si="11"/>
        <v/>
      </c>
      <c r="AR35" s="13" t="str">
        <f t="shared" si="11"/>
        <v/>
      </c>
    </row>
    <row r="36" spans="1:44" ht="14.1" customHeight="1" x14ac:dyDescent="0.25">
      <c r="A36" s="17">
        <v>1054</v>
      </c>
      <c r="B36" s="17" t="s">
        <v>14</v>
      </c>
      <c r="C36" s="17" t="s">
        <v>39</v>
      </c>
      <c r="D36" s="17">
        <v>1</v>
      </c>
      <c r="E36" s="34">
        <f t="shared" si="38"/>
        <v>0.3</v>
      </c>
      <c r="F36" s="35">
        <f t="shared" si="39"/>
        <v>0.3</v>
      </c>
      <c r="G36" s="17">
        <v>0.16</v>
      </c>
      <c r="H36" s="18">
        <v>0.16</v>
      </c>
      <c r="I36" s="22">
        <f t="shared" si="37"/>
        <v>1054</v>
      </c>
      <c r="K36" s="27">
        <f t="shared" si="40"/>
        <v>8</v>
      </c>
      <c r="L36" s="7" t="str">
        <f t="shared" si="41"/>
        <v>A500C</v>
      </c>
      <c r="M36" s="26">
        <f t="shared" si="42"/>
        <v>770</v>
      </c>
      <c r="N36" s="26">
        <f t="shared" si="43"/>
        <v>1</v>
      </c>
      <c r="P36" s="6" t="str">
        <f t="shared" si="44"/>
        <v>8 А500C L = 770</v>
      </c>
      <c r="R36" s="6">
        <f t="shared" si="29"/>
        <v>0.39500000000000002</v>
      </c>
      <c r="T36" s="6">
        <f t="shared" si="45"/>
        <v>0.3</v>
      </c>
      <c r="U36" s="6">
        <f t="shared" si="46"/>
        <v>0.3</v>
      </c>
      <c r="X36" s="13" t="str">
        <f t="shared" si="10"/>
        <v/>
      </c>
      <c r="Y36" s="13">
        <f t="shared" si="10"/>
        <v>0.3</v>
      </c>
      <c r="Z36" s="13" t="str">
        <f t="shared" si="10"/>
        <v/>
      </c>
      <c r="AA36" s="13" t="str">
        <f t="shared" si="10"/>
        <v/>
      </c>
      <c r="AB36" s="13" t="str">
        <f t="shared" si="10"/>
        <v/>
      </c>
      <c r="AC36" s="13" t="str">
        <f t="shared" si="10"/>
        <v/>
      </c>
      <c r="AD36" s="13" t="str">
        <f t="shared" si="10"/>
        <v/>
      </c>
      <c r="AE36" s="13" t="str">
        <f t="shared" si="10"/>
        <v/>
      </c>
      <c r="AF36" s="13" t="str">
        <f t="shared" si="10"/>
        <v/>
      </c>
      <c r="AG36" s="13" t="str">
        <f t="shared" si="10"/>
        <v/>
      </c>
      <c r="AH36" s="14"/>
      <c r="AI36" s="13" t="str">
        <f t="shared" si="11"/>
        <v/>
      </c>
      <c r="AJ36" s="13" t="str">
        <f t="shared" si="11"/>
        <v/>
      </c>
      <c r="AK36" s="13" t="str">
        <f t="shared" si="11"/>
        <v/>
      </c>
      <c r="AL36" s="13" t="str">
        <f t="shared" si="11"/>
        <v/>
      </c>
      <c r="AM36" s="13" t="str">
        <f t="shared" si="11"/>
        <v/>
      </c>
      <c r="AN36" s="13" t="str">
        <f t="shared" si="11"/>
        <v/>
      </c>
      <c r="AO36" s="13" t="str">
        <f t="shared" si="11"/>
        <v/>
      </c>
      <c r="AP36" s="13" t="str">
        <f t="shared" si="11"/>
        <v/>
      </c>
      <c r="AQ36" s="13" t="str">
        <f t="shared" si="11"/>
        <v/>
      </c>
      <c r="AR36" s="13" t="str">
        <f t="shared" si="11"/>
        <v/>
      </c>
    </row>
    <row r="37" spans="1:44" ht="14.1" customHeight="1" x14ac:dyDescent="0.25">
      <c r="A37" s="17">
        <v>1054</v>
      </c>
      <c r="B37" s="17" t="s">
        <v>14</v>
      </c>
      <c r="C37" s="17" t="s">
        <v>39</v>
      </c>
      <c r="D37" s="17">
        <v>1</v>
      </c>
      <c r="E37" s="34">
        <f t="shared" si="38"/>
        <v>0.3</v>
      </c>
      <c r="F37" s="35">
        <f t="shared" si="39"/>
        <v>0.3</v>
      </c>
      <c r="G37" s="17">
        <v>0.16</v>
      </c>
      <c r="H37" s="18">
        <v>0.16</v>
      </c>
      <c r="I37" s="22">
        <f t="shared" si="37"/>
        <v>1054</v>
      </c>
      <c r="K37" s="27">
        <f t="shared" si="40"/>
        <v>8</v>
      </c>
      <c r="L37" s="7" t="str">
        <f t="shared" si="41"/>
        <v>A500C</v>
      </c>
      <c r="M37" s="26">
        <f t="shared" si="42"/>
        <v>770</v>
      </c>
      <c r="N37" s="26">
        <f t="shared" si="43"/>
        <v>1</v>
      </c>
      <c r="P37" s="6" t="str">
        <f t="shared" si="44"/>
        <v>8 А500C L = 770</v>
      </c>
      <c r="R37" s="6">
        <f t="shared" si="29"/>
        <v>0.39500000000000002</v>
      </c>
      <c r="T37" s="6">
        <f t="shared" si="45"/>
        <v>0.3</v>
      </c>
      <c r="U37" s="6">
        <f t="shared" si="46"/>
        <v>0.3</v>
      </c>
      <c r="X37" s="13" t="str">
        <f t="shared" si="10"/>
        <v/>
      </c>
      <c r="Y37" s="13">
        <f t="shared" si="10"/>
        <v>0.3</v>
      </c>
      <c r="Z37" s="13" t="str">
        <f t="shared" si="10"/>
        <v/>
      </c>
      <c r="AA37" s="13" t="str">
        <f t="shared" si="10"/>
        <v/>
      </c>
      <c r="AB37" s="13" t="str">
        <f t="shared" si="10"/>
        <v/>
      </c>
      <c r="AC37" s="13" t="str">
        <f t="shared" si="10"/>
        <v/>
      </c>
      <c r="AD37" s="13" t="str">
        <f t="shared" si="10"/>
        <v/>
      </c>
      <c r="AE37" s="13" t="str">
        <f t="shared" si="10"/>
        <v/>
      </c>
      <c r="AF37" s="13" t="str">
        <f t="shared" si="10"/>
        <v/>
      </c>
      <c r="AG37" s="13" t="str">
        <f t="shared" si="10"/>
        <v/>
      </c>
      <c r="AH37" s="14"/>
      <c r="AI37" s="13" t="str">
        <f t="shared" si="11"/>
        <v/>
      </c>
      <c r="AJ37" s="13" t="str">
        <f t="shared" si="11"/>
        <v/>
      </c>
      <c r="AK37" s="13" t="str">
        <f t="shared" si="11"/>
        <v/>
      </c>
      <c r="AL37" s="13" t="str">
        <f t="shared" si="11"/>
        <v/>
      </c>
      <c r="AM37" s="13" t="str">
        <f t="shared" si="11"/>
        <v/>
      </c>
      <c r="AN37" s="13" t="str">
        <f t="shared" si="11"/>
        <v/>
      </c>
      <c r="AO37" s="13" t="str">
        <f t="shared" si="11"/>
        <v/>
      </c>
      <c r="AP37" s="13" t="str">
        <f t="shared" si="11"/>
        <v/>
      </c>
      <c r="AQ37" s="13" t="str">
        <f t="shared" si="11"/>
        <v/>
      </c>
      <c r="AR37" s="13" t="str">
        <f t="shared" si="11"/>
        <v/>
      </c>
    </row>
    <row r="38" spans="1:44" ht="14.1" customHeight="1" x14ac:dyDescent="0.25">
      <c r="A38" s="17">
        <v>1054</v>
      </c>
      <c r="B38" s="17" t="s">
        <v>14</v>
      </c>
      <c r="C38" s="17" t="s">
        <v>39</v>
      </c>
      <c r="D38" s="17">
        <v>1</v>
      </c>
      <c r="E38" s="34">
        <f t="shared" si="38"/>
        <v>0.3</v>
      </c>
      <c r="F38" s="35">
        <f t="shared" si="39"/>
        <v>0.3</v>
      </c>
      <c r="G38" s="17">
        <v>0.16</v>
      </c>
      <c r="H38" s="18">
        <v>0.16</v>
      </c>
      <c r="I38" s="22">
        <f t="shared" si="37"/>
        <v>1054</v>
      </c>
      <c r="K38" s="27">
        <f t="shared" si="40"/>
        <v>8</v>
      </c>
      <c r="L38" s="7" t="str">
        <f t="shared" si="41"/>
        <v>A500C</v>
      </c>
      <c r="M38" s="26">
        <f t="shared" si="42"/>
        <v>770</v>
      </c>
      <c r="N38" s="26">
        <f t="shared" si="43"/>
        <v>1</v>
      </c>
      <c r="P38" s="6" t="str">
        <f t="shared" si="44"/>
        <v>8 А500C L = 770</v>
      </c>
      <c r="R38" s="6">
        <f t="shared" si="29"/>
        <v>0.39500000000000002</v>
      </c>
      <c r="T38" s="6">
        <f t="shared" si="45"/>
        <v>0.3</v>
      </c>
      <c r="U38" s="6">
        <f t="shared" si="46"/>
        <v>0.3</v>
      </c>
      <c r="X38" s="13" t="str">
        <f t="shared" si="10"/>
        <v/>
      </c>
      <c r="Y38" s="13">
        <f t="shared" si="10"/>
        <v>0.3</v>
      </c>
      <c r="Z38" s="13" t="str">
        <f t="shared" si="10"/>
        <v/>
      </c>
      <c r="AA38" s="13" t="str">
        <f t="shared" si="10"/>
        <v/>
      </c>
      <c r="AB38" s="13" t="str">
        <f t="shared" si="10"/>
        <v/>
      </c>
      <c r="AC38" s="13" t="str">
        <f t="shared" si="10"/>
        <v/>
      </c>
      <c r="AD38" s="13" t="str">
        <f t="shared" si="10"/>
        <v/>
      </c>
      <c r="AE38" s="13" t="str">
        <f t="shared" si="10"/>
        <v/>
      </c>
      <c r="AF38" s="13" t="str">
        <f t="shared" si="10"/>
        <v/>
      </c>
      <c r="AG38" s="13" t="str">
        <f t="shared" si="10"/>
        <v/>
      </c>
      <c r="AH38" s="14"/>
      <c r="AI38" s="13" t="str">
        <f t="shared" si="11"/>
        <v/>
      </c>
      <c r="AJ38" s="13" t="str">
        <f t="shared" si="11"/>
        <v/>
      </c>
      <c r="AK38" s="13" t="str">
        <f t="shared" si="11"/>
        <v/>
      </c>
      <c r="AL38" s="13" t="str">
        <f t="shared" si="11"/>
        <v/>
      </c>
      <c r="AM38" s="13" t="str">
        <f t="shared" si="11"/>
        <v/>
      </c>
      <c r="AN38" s="13" t="str">
        <f t="shared" si="11"/>
        <v/>
      </c>
      <c r="AO38" s="13" t="str">
        <f t="shared" si="11"/>
        <v/>
      </c>
      <c r="AP38" s="13" t="str">
        <f t="shared" si="11"/>
        <v/>
      </c>
      <c r="AQ38" s="13" t="str">
        <f t="shared" si="11"/>
        <v/>
      </c>
      <c r="AR38" s="13" t="str">
        <f t="shared" si="11"/>
        <v/>
      </c>
    </row>
    <row r="39" spans="1:44" ht="14.1" customHeight="1" x14ac:dyDescent="0.25">
      <c r="A39" s="17">
        <v>1054</v>
      </c>
      <c r="B39" s="17" t="s">
        <v>14</v>
      </c>
      <c r="C39" s="17" t="s">
        <v>39</v>
      </c>
      <c r="D39" s="17">
        <v>1</v>
      </c>
      <c r="E39" s="34">
        <f t="shared" si="38"/>
        <v>0.3</v>
      </c>
      <c r="F39" s="35">
        <f t="shared" si="39"/>
        <v>0.3</v>
      </c>
      <c r="G39" s="17">
        <v>0.16</v>
      </c>
      <c r="H39" s="18">
        <v>0.16</v>
      </c>
      <c r="I39" s="22">
        <f t="shared" si="37"/>
        <v>1054</v>
      </c>
      <c r="K39" s="27">
        <f t="shared" si="40"/>
        <v>8</v>
      </c>
      <c r="L39" s="7" t="str">
        <f t="shared" si="41"/>
        <v>A500C</v>
      </c>
      <c r="M39" s="26">
        <f t="shared" si="42"/>
        <v>770</v>
      </c>
      <c r="N39" s="26">
        <f t="shared" si="43"/>
        <v>1</v>
      </c>
      <c r="P39" s="6" t="str">
        <f t="shared" si="44"/>
        <v>8 А500C L = 770</v>
      </c>
      <c r="R39" s="6">
        <f t="shared" si="29"/>
        <v>0.39500000000000002</v>
      </c>
      <c r="T39" s="6">
        <f t="shared" si="45"/>
        <v>0.3</v>
      </c>
      <c r="U39" s="6">
        <f t="shared" si="46"/>
        <v>0.3</v>
      </c>
      <c r="X39" s="13" t="str">
        <f t="shared" si="10"/>
        <v/>
      </c>
      <c r="Y39" s="13">
        <f t="shared" si="10"/>
        <v>0.3</v>
      </c>
      <c r="Z39" s="13" t="str">
        <f t="shared" si="10"/>
        <v/>
      </c>
      <c r="AA39" s="13" t="str">
        <f t="shared" si="10"/>
        <v/>
      </c>
      <c r="AB39" s="13" t="str">
        <f t="shared" si="10"/>
        <v/>
      </c>
      <c r="AC39" s="13" t="str">
        <f t="shared" si="10"/>
        <v/>
      </c>
      <c r="AD39" s="13" t="str">
        <f t="shared" si="10"/>
        <v/>
      </c>
      <c r="AE39" s="13" t="str">
        <f t="shared" si="10"/>
        <v/>
      </c>
      <c r="AF39" s="13" t="str">
        <f t="shared" si="10"/>
        <v/>
      </c>
      <c r="AG39" s="13" t="str">
        <f t="shared" si="10"/>
        <v/>
      </c>
      <c r="AH39" s="14"/>
      <c r="AI39" s="13" t="str">
        <f t="shared" si="11"/>
        <v/>
      </c>
      <c r="AJ39" s="13" t="str">
        <f t="shared" si="11"/>
        <v/>
      </c>
      <c r="AK39" s="13" t="str">
        <f t="shared" si="11"/>
        <v/>
      </c>
      <c r="AL39" s="13" t="str">
        <f t="shared" si="11"/>
        <v/>
      </c>
      <c r="AM39" s="13" t="str">
        <f t="shared" si="11"/>
        <v/>
      </c>
      <c r="AN39" s="13" t="str">
        <f t="shared" si="11"/>
        <v/>
      </c>
      <c r="AO39" s="13" t="str">
        <f t="shared" si="11"/>
        <v/>
      </c>
      <c r="AP39" s="13" t="str">
        <f t="shared" si="11"/>
        <v/>
      </c>
      <c r="AQ39" s="13" t="str">
        <f t="shared" si="11"/>
        <v/>
      </c>
      <c r="AR39" s="13" t="str">
        <f t="shared" si="11"/>
        <v/>
      </c>
    </row>
    <row r="40" spans="1:44" ht="14.1" customHeight="1" x14ac:dyDescent="0.25">
      <c r="A40" s="17">
        <v>1054</v>
      </c>
      <c r="B40" s="17" t="s">
        <v>14</v>
      </c>
      <c r="C40" s="17" t="s">
        <v>39</v>
      </c>
      <c r="D40" s="17">
        <v>1</v>
      </c>
      <c r="E40" s="34">
        <f t="shared" si="38"/>
        <v>0.3</v>
      </c>
      <c r="F40" s="35">
        <f t="shared" si="39"/>
        <v>0.3</v>
      </c>
      <c r="G40" s="17">
        <v>0.16</v>
      </c>
      <c r="H40" s="18">
        <v>0.16</v>
      </c>
      <c r="I40" s="22">
        <f t="shared" si="37"/>
        <v>1054</v>
      </c>
      <c r="K40" s="27">
        <f t="shared" si="40"/>
        <v>8</v>
      </c>
      <c r="L40" s="7" t="str">
        <f t="shared" si="41"/>
        <v>A500C</v>
      </c>
      <c r="M40" s="26">
        <f t="shared" si="42"/>
        <v>770</v>
      </c>
      <c r="N40" s="26">
        <f t="shared" si="43"/>
        <v>1</v>
      </c>
      <c r="P40" s="6" t="str">
        <f t="shared" si="44"/>
        <v>8 А500C L = 770</v>
      </c>
      <c r="R40" s="6">
        <f t="shared" si="29"/>
        <v>0.39500000000000002</v>
      </c>
      <c r="T40" s="6">
        <f t="shared" si="45"/>
        <v>0.3</v>
      </c>
      <c r="U40" s="6">
        <f t="shared" si="46"/>
        <v>0.3</v>
      </c>
      <c r="X40" s="13" t="str">
        <f t="shared" si="10"/>
        <v/>
      </c>
      <c r="Y40" s="13">
        <f t="shared" si="10"/>
        <v>0.3</v>
      </c>
      <c r="Z40" s="13" t="str">
        <f t="shared" si="10"/>
        <v/>
      </c>
      <c r="AA40" s="13" t="str">
        <f t="shared" si="10"/>
        <v/>
      </c>
      <c r="AB40" s="13" t="str">
        <f t="shared" si="10"/>
        <v/>
      </c>
      <c r="AC40" s="13" t="str">
        <f t="shared" si="10"/>
        <v/>
      </c>
      <c r="AD40" s="13" t="str">
        <f t="shared" si="10"/>
        <v/>
      </c>
      <c r="AE40" s="13" t="str">
        <f t="shared" si="10"/>
        <v/>
      </c>
      <c r="AF40" s="13" t="str">
        <f t="shared" si="10"/>
        <v/>
      </c>
      <c r="AG40" s="13" t="str">
        <f t="shared" si="10"/>
        <v/>
      </c>
      <c r="AH40" s="14"/>
      <c r="AI40" s="13" t="str">
        <f t="shared" si="11"/>
        <v/>
      </c>
      <c r="AJ40" s="13" t="str">
        <f t="shared" si="11"/>
        <v/>
      </c>
      <c r="AK40" s="13" t="str">
        <f t="shared" si="11"/>
        <v/>
      </c>
      <c r="AL40" s="13" t="str">
        <f t="shared" si="11"/>
        <v/>
      </c>
      <c r="AM40" s="13" t="str">
        <f t="shared" si="11"/>
        <v/>
      </c>
      <c r="AN40" s="13" t="str">
        <f t="shared" si="11"/>
        <v/>
      </c>
      <c r="AO40" s="13" t="str">
        <f t="shared" si="11"/>
        <v/>
      </c>
      <c r="AP40" s="13" t="str">
        <f t="shared" si="11"/>
        <v/>
      </c>
      <c r="AQ40" s="13" t="str">
        <f t="shared" si="11"/>
        <v/>
      </c>
      <c r="AR40" s="13" t="str">
        <f t="shared" si="11"/>
        <v/>
      </c>
    </row>
    <row r="41" spans="1:44" ht="14.1" customHeight="1" x14ac:dyDescent="0.25">
      <c r="A41" s="17">
        <v>1054</v>
      </c>
      <c r="B41" s="17" t="s">
        <v>14</v>
      </c>
      <c r="C41" s="17" t="s">
        <v>39</v>
      </c>
      <c r="D41" s="17">
        <v>1</v>
      </c>
      <c r="E41" s="34">
        <f t="shared" si="38"/>
        <v>0.3</v>
      </c>
      <c r="F41" s="35">
        <f t="shared" si="39"/>
        <v>0.3</v>
      </c>
      <c r="G41" s="17">
        <v>0.16</v>
      </c>
      <c r="H41" s="18">
        <v>0.16</v>
      </c>
      <c r="I41" s="22">
        <f t="shared" si="37"/>
        <v>1054</v>
      </c>
      <c r="K41" s="27">
        <f t="shared" si="40"/>
        <v>8</v>
      </c>
      <c r="L41" s="7" t="str">
        <f t="shared" si="41"/>
        <v>A500C</v>
      </c>
      <c r="M41" s="26">
        <f t="shared" si="42"/>
        <v>770</v>
      </c>
      <c r="N41" s="26">
        <f t="shared" si="43"/>
        <v>1</v>
      </c>
      <c r="P41" s="6" t="str">
        <f t="shared" si="44"/>
        <v>8 А500C L = 770</v>
      </c>
      <c r="R41" s="6">
        <f t="shared" si="29"/>
        <v>0.39500000000000002</v>
      </c>
      <c r="T41" s="6">
        <f t="shared" si="45"/>
        <v>0.3</v>
      </c>
      <c r="U41" s="6">
        <f t="shared" si="46"/>
        <v>0.3</v>
      </c>
      <c r="X41" s="13" t="str">
        <f t="shared" si="10"/>
        <v/>
      </c>
      <c r="Y41" s="13">
        <f t="shared" si="10"/>
        <v>0.3</v>
      </c>
      <c r="Z41" s="13" t="str">
        <f t="shared" si="10"/>
        <v/>
      </c>
      <c r="AA41" s="13" t="str">
        <f t="shared" si="10"/>
        <v/>
      </c>
      <c r="AB41" s="13" t="str">
        <f t="shared" si="10"/>
        <v/>
      </c>
      <c r="AC41" s="13" t="str">
        <f t="shared" si="10"/>
        <v/>
      </c>
      <c r="AD41" s="13" t="str">
        <f t="shared" si="10"/>
        <v/>
      </c>
      <c r="AE41" s="13" t="str">
        <f t="shared" si="10"/>
        <v/>
      </c>
      <c r="AF41" s="13" t="str">
        <f t="shared" si="10"/>
        <v/>
      </c>
      <c r="AG41" s="13" t="str">
        <f t="shared" si="10"/>
        <v/>
      </c>
      <c r="AH41" s="14"/>
      <c r="AI41" s="13" t="str">
        <f t="shared" si="11"/>
        <v/>
      </c>
      <c r="AJ41" s="13" t="str">
        <f t="shared" si="11"/>
        <v/>
      </c>
      <c r="AK41" s="13" t="str">
        <f t="shared" si="11"/>
        <v/>
      </c>
      <c r="AL41" s="13" t="str">
        <f t="shared" si="11"/>
        <v/>
      </c>
      <c r="AM41" s="13" t="str">
        <f t="shared" si="11"/>
        <v/>
      </c>
      <c r="AN41" s="13" t="str">
        <f t="shared" si="11"/>
        <v/>
      </c>
      <c r="AO41" s="13" t="str">
        <f t="shared" si="11"/>
        <v/>
      </c>
      <c r="AP41" s="13" t="str">
        <f t="shared" si="11"/>
        <v/>
      </c>
      <c r="AQ41" s="13" t="str">
        <f t="shared" si="11"/>
        <v/>
      </c>
      <c r="AR41" s="13" t="str">
        <f t="shared" si="11"/>
        <v/>
      </c>
    </row>
    <row r="42" spans="1:44" ht="14.1" customHeight="1" x14ac:dyDescent="0.25">
      <c r="A42" s="17">
        <v>1054</v>
      </c>
      <c r="B42" s="17" t="s">
        <v>14</v>
      </c>
      <c r="C42" s="17" t="s">
        <v>39</v>
      </c>
      <c r="D42" s="17">
        <v>1</v>
      </c>
      <c r="E42" s="34">
        <f t="shared" si="38"/>
        <v>0.3</v>
      </c>
      <c r="F42" s="35">
        <f t="shared" si="39"/>
        <v>0.3</v>
      </c>
      <c r="G42" s="17">
        <v>0.16</v>
      </c>
      <c r="H42" s="18">
        <v>0.16</v>
      </c>
      <c r="I42" s="22">
        <f t="shared" si="37"/>
        <v>1054</v>
      </c>
      <c r="K42" s="27">
        <f t="shared" si="40"/>
        <v>8</v>
      </c>
      <c r="L42" s="7" t="str">
        <f t="shared" si="41"/>
        <v>A500C</v>
      </c>
      <c r="M42" s="26">
        <f t="shared" si="42"/>
        <v>770</v>
      </c>
      <c r="N42" s="26">
        <f t="shared" si="43"/>
        <v>1</v>
      </c>
      <c r="P42" s="6" t="str">
        <f t="shared" si="44"/>
        <v>8 А500C L = 770</v>
      </c>
      <c r="R42" s="6">
        <f t="shared" si="29"/>
        <v>0.39500000000000002</v>
      </c>
      <c r="T42" s="6">
        <f t="shared" si="45"/>
        <v>0.3</v>
      </c>
      <c r="U42" s="6">
        <f t="shared" si="46"/>
        <v>0.3</v>
      </c>
      <c r="X42" s="13" t="str">
        <f t="shared" si="10"/>
        <v/>
      </c>
      <c r="Y42" s="13">
        <f t="shared" si="10"/>
        <v>0.3</v>
      </c>
      <c r="Z42" s="13" t="str">
        <f t="shared" si="10"/>
        <v/>
      </c>
      <c r="AA42" s="13" t="str">
        <f t="shared" si="10"/>
        <v/>
      </c>
      <c r="AB42" s="13" t="str">
        <f t="shared" si="10"/>
        <v/>
      </c>
      <c r="AC42" s="13" t="str">
        <f t="shared" si="10"/>
        <v/>
      </c>
      <c r="AD42" s="13" t="str">
        <f t="shared" si="10"/>
        <v/>
      </c>
      <c r="AE42" s="13" t="str">
        <f t="shared" si="10"/>
        <v/>
      </c>
      <c r="AF42" s="13" t="str">
        <f t="shared" si="10"/>
        <v/>
      </c>
      <c r="AG42" s="13" t="str">
        <f t="shared" si="10"/>
        <v/>
      </c>
      <c r="AH42" s="14"/>
      <c r="AI42" s="13" t="str">
        <f t="shared" si="11"/>
        <v/>
      </c>
      <c r="AJ42" s="13" t="str">
        <f t="shared" si="11"/>
        <v/>
      </c>
      <c r="AK42" s="13" t="str">
        <f t="shared" si="11"/>
        <v/>
      </c>
      <c r="AL42" s="13" t="str">
        <f t="shared" si="11"/>
        <v/>
      </c>
      <c r="AM42" s="13" t="str">
        <f t="shared" si="11"/>
        <v/>
      </c>
      <c r="AN42" s="13" t="str">
        <f t="shared" si="11"/>
        <v/>
      </c>
      <c r="AO42" s="13" t="str">
        <f t="shared" si="11"/>
        <v/>
      </c>
      <c r="AP42" s="13" t="str">
        <f t="shared" si="11"/>
        <v/>
      </c>
      <c r="AQ42" s="13" t="str">
        <f t="shared" si="11"/>
        <v/>
      </c>
      <c r="AR42" s="13" t="str">
        <f t="shared" si="11"/>
        <v/>
      </c>
    </row>
    <row r="43" spans="1:44" ht="14.1" customHeight="1" x14ac:dyDescent="0.25">
      <c r="A43" s="17">
        <v>1054</v>
      </c>
      <c r="B43" s="17" t="s">
        <v>14</v>
      </c>
      <c r="C43" s="17" t="s">
        <v>39</v>
      </c>
      <c r="D43" s="17">
        <v>1</v>
      </c>
      <c r="E43" s="34">
        <f t="shared" si="38"/>
        <v>0.3</v>
      </c>
      <c r="F43" s="35">
        <f t="shared" si="39"/>
        <v>0.3</v>
      </c>
      <c r="G43" s="17">
        <v>0.16</v>
      </c>
      <c r="H43" s="18">
        <v>0.16</v>
      </c>
      <c r="I43" s="22">
        <f t="shared" si="37"/>
        <v>1054</v>
      </c>
      <c r="K43" s="27">
        <f t="shared" si="40"/>
        <v>8</v>
      </c>
      <c r="L43" s="7" t="str">
        <f t="shared" si="41"/>
        <v>A500C</v>
      </c>
      <c r="M43" s="26">
        <f t="shared" si="42"/>
        <v>770</v>
      </c>
      <c r="N43" s="26">
        <f t="shared" si="43"/>
        <v>1</v>
      </c>
      <c r="P43" s="6" t="str">
        <f t="shared" si="44"/>
        <v>8 А500C L = 770</v>
      </c>
      <c r="R43" s="6">
        <f t="shared" si="29"/>
        <v>0.39500000000000002</v>
      </c>
      <c r="T43" s="6">
        <f t="shared" si="45"/>
        <v>0.3</v>
      </c>
      <c r="U43" s="6">
        <f t="shared" si="46"/>
        <v>0.3</v>
      </c>
      <c r="X43" s="13" t="str">
        <f t="shared" si="10"/>
        <v/>
      </c>
      <c r="Y43" s="13">
        <f t="shared" si="10"/>
        <v>0.3</v>
      </c>
      <c r="Z43" s="13" t="str">
        <f t="shared" si="10"/>
        <v/>
      </c>
      <c r="AA43" s="13" t="str">
        <f t="shared" si="10"/>
        <v/>
      </c>
      <c r="AB43" s="13" t="str">
        <f t="shared" si="10"/>
        <v/>
      </c>
      <c r="AC43" s="13" t="str">
        <f t="shared" si="10"/>
        <v/>
      </c>
      <c r="AD43" s="13" t="str">
        <f t="shared" si="10"/>
        <v/>
      </c>
      <c r="AE43" s="13" t="str">
        <f t="shared" si="10"/>
        <v/>
      </c>
      <c r="AF43" s="13" t="str">
        <f t="shared" si="10"/>
        <v/>
      </c>
      <c r="AG43" s="13" t="str">
        <f t="shared" si="10"/>
        <v/>
      </c>
      <c r="AH43" s="14"/>
      <c r="AI43" s="13" t="str">
        <f t="shared" si="11"/>
        <v/>
      </c>
      <c r="AJ43" s="13" t="str">
        <f t="shared" si="11"/>
        <v/>
      </c>
      <c r="AK43" s="13" t="str">
        <f t="shared" si="11"/>
        <v/>
      </c>
      <c r="AL43" s="13" t="str">
        <f t="shared" si="11"/>
        <v/>
      </c>
      <c r="AM43" s="13" t="str">
        <f t="shared" si="11"/>
        <v/>
      </c>
      <c r="AN43" s="13" t="str">
        <f t="shared" si="11"/>
        <v/>
      </c>
      <c r="AO43" s="13" t="str">
        <f t="shared" si="11"/>
        <v/>
      </c>
      <c r="AP43" s="13" t="str">
        <f t="shared" si="11"/>
        <v/>
      </c>
      <c r="AQ43" s="13" t="str">
        <f t="shared" si="11"/>
        <v/>
      </c>
      <c r="AR43" s="13" t="str">
        <f t="shared" si="11"/>
        <v/>
      </c>
    </row>
    <row r="44" spans="1:44" ht="14.1" customHeight="1" x14ac:dyDescent="0.25">
      <c r="A44" s="17">
        <v>1054</v>
      </c>
      <c r="B44" s="17" t="s">
        <v>14</v>
      </c>
      <c r="C44" s="17" t="s">
        <v>39</v>
      </c>
      <c r="D44" s="17">
        <v>1</v>
      </c>
      <c r="E44" s="34">
        <f t="shared" si="38"/>
        <v>0.3</v>
      </c>
      <c r="F44" s="35">
        <f t="shared" si="39"/>
        <v>0.3</v>
      </c>
      <c r="G44" s="17">
        <v>0.16</v>
      </c>
      <c r="H44" s="18">
        <v>0.16</v>
      </c>
      <c r="I44" s="22">
        <f t="shared" si="37"/>
        <v>1054</v>
      </c>
      <c r="K44" s="27">
        <f t="shared" si="40"/>
        <v>8</v>
      </c>
      <c r="L44" s="7" t="str">
        <f t="shared" si="41"/>
        <v>A500C</v>
      </c>
      <c r="M44" s="26">
        <f t="shared" si="42"/>
        <v>770</v>
      </c>
      <c r="N44" s="26">
        <f t="shared" si="43"/>
        <v>1</v>
      </c>
      <c r="P44" s="6" t="str">
        <f t="shared" si="44"/>
        <v>8 А500C L = 770</v>
      </c>
      <c r="R44" s="6">
        <f t="shared" si="29"/>
        <v>0.39500000000000002</v>
      </c>
      <c r="T44" s="6">
        <f t="shared" si="45"/>
        <v>0.3</v>
      </c>
      <c r="U44" s="6">
        <f t="shared" si="46"/>
        <v>0.3</v>
      </c>
      <c r="X44" s="13" t="str">
        <f t="shared" si="10"/>
        <v/>
      </c>
      <c r="Y44" s="13">
        <f t="shared" si="10"/>
        <v>0.3</v>
      </c>
      <c r="Z44" s="13" t="str">
        <f t="shared" si="10"/>
        <v/>
      </c>
      <c r="AA44" s="13" t="str">
        <f t="shared" si="10"/>
        <v/>
      </c>
      <c r="AB44" s="13" t="str">
        <f t="shared" si="10"/>
        <v/>
      </c>
      <c r="AC44" s="13" t="str">
        <f t="shared" si="10"/>
        <v/>
      </c>
      <c r="AD44" s="13" t="str">
        <f t="shared" si="10"/>
        <v/>
      </c>
      <c r="AE44" s="13" t="str">
        <f t="shared" si="10"/>
        <v/>
      </c>
      <c r="AF44" s="13" t="str">
        <f t="shared" si="10"/>
        <v/>
      </c>
      <c r="AG44" s="13" t="str">
        <f t="shared" si="10"/>
        <v/>
      </c>
      <c r="AH44" s="14"/>
      <c r="AI44" s="13" t="str">
        <f t="shared" si="11"/>
        <v/>
      </c>
      <c r="AJ44" s="13" t="str">
        <f t="shared" si="11"/>
        <v/>
      </c>
      <c r="AK44" s="13" t="str">
        <f t="shared" si="11"/>
        <v/>
      </c>
      <c r="AL44" s="13" t="str">
        <f t="shared" si="11"/>
        <v/>
      </c>
      <c r="AM44" s="13" t="str">
        <f t="shared" si="11"/>
        <v/>
      </c>
      <c r="AN44" s="13" t="str">
        <f t="shared" si="11"/>
        <v/>
      </c>
      <c r="AO44" s="13" t="str">
        <f t="shared" si="11"/>
        <v/>
      </c>
      <c r="AP44" s="13" t="str">
        <f t="shared" si="11"/>
        <v/>
      </c>
      <c r="AQ44" s="13" t="str">
        <f t="shared" si="11"/>
        <v/>
      </c>
      <c r="AR44" s="13" t="str">
        <f t="shared" si="11"/>
        <v/>
      </c>
    </row>
    <row r="45" spans="1:44" ht="14.1" customHeight="1" x14ac:dyDescent="0.25">
      <c r="A45" s="30"/>
      <c r="B45" s="3"/>
      <c r="C45" s="33" t="s">
        <v>42</v>
      </c>
      <c r="D45" s="3">
        <v>1</v>
      </c>
      <c r="E45" s="23">
        <f>SUM(F46:F55)</f>
        <v>2.9999999999999996</v>
      </c>
      <c r="F45" s="24">
        <f>D45*E45</f>
        <v>2.9999999999999996</v>
      </c>
      <c r="G45" s="17">
        <v>71.3</v>
      </c>
      <c r="H45" s="18">
        <v>71.3</v>
      </c>
      <c r="I45" s="22">
        <f t="shared" ref="I45:I55" si="47">A45</f>
        <v>0</v>
      </c>
      <c r="K45" s="27"/>
      <c r="L45" s="7"/>
      <c r="M45" s="26"/>
      <c r="N45" s="26"/>
      <c r="P45" s="6"/>
      <c r="R45" s="6">
        <f t="shared" si="29"/>
        <v>0</v>
      </c>
      <c r="T45" s="6"/>
      <c r="U45" s="6"/>
      <c r="X45" s="13" t="str">
        <f t="shared" si="10"/>
        <v/>
      </c>
      <c r="Y45" s="13" t="str">
        <f t="shared" si="10"/>
        <v/>
      </c>
      <c r="Z45" s="13" t="str">
        <f t="shared" si="10"/>
        <v/>
      </c>
      <c r="AA45" s="13" t="str">
        <f t="shared" si="10"/>
        <v/>
      </c>
      <c r="AB45" s="13" t="str">
        <f t="shared" si="10"/>
        <v/>
      </c>
      <c r="AC45" s="13" t="str">
        <f t="shared" si="10"/>
        <v/>
      </c>
      <c r="AD45" s="13" t="str">
        <f t="shared" si="10"/>
        <v/>
      </c>
      <c r="AE45" s="13" t="str">
        <f t="shared" si="10"/>
        <v/>
      </c>
      <c r="AF45" s="13" t="str">
        <f t="shared" si="10"/>
        <v/>
      </c>
      <c r="AG45" s="13" t="str">
        <f t="shared" si="10"/>
        <v/>
      </c>
      <c r="AH45" s="14"/>
      <c r="AI45" s="13" t="str">
        <f t="shared" si="11"/>
        <v/>
      </c>
      <c r="AJ45" s="13" t="str">
        <f t="shared" si="11"/>
        <v/>
      </c>
      <c r="AK45" s="13" t="str">
        <f t="shared" si="11"/>
        <v/>
      </c>
      <c r="AL45" s="13" t="str">
        <f t="shared" si="11"/>
        <v/>
      </c>
      <c r="AM45" s="13" t="str">
        <f t="shared" si="11"/>
        <v/>
      </c>
      <c r="AN45" s="13" t="str">
        <f t="shared" si="11"/>
        <v/>
      </c>
      <c r="AO45" s="13" t="str">
        <f t="shared" si="11"/>
        <v/>
      </c>
      <c r="AP45" s="13" t="str">
        <f t="shared" si="11"/>
        <v/>
      </c>
      <c r="AQ45" s="13" t="str">
        <f t="shared" si="11"/>
        <v/>
      </c>
      <c r="AR45" s="13" t="str">
        <f t="shared" si="11"/>
        <v/>
      </c>
    </row>
    <row r="46" spans="1:44" ht="14.1" customHeight="1" x14ac:dyDescent="0.25">
      <c r="A46" s="17">
        <v>1054</v>
      </c>
      <c r="B46" s="17" t="s">
        <v>14</v>
      </c>
      <c r="C46" s="17" t="s">
        <v>39</v>
      </c>
      <c r="D46" s="17">
        <v>1</v>
      </c>
      <c r="E46" s="34">
        <f t="shared" ref="E46:E55" si="48">T46</f>
        <v>0.3</v>
      </c>
      <c r="F46" s="35">
        <f t="shared" ref="F46:F55" si="49">U46</f>
        <v>0.3</v>
      </c>
      <c r="G46" s="17">
        <v>0.16</v>
      </c>
      <c r="H46" s="18">
        <v>0.16</v>
      </c>
      <c r="I46" s="22">
        <f t="shared" si="47"/>
        <v>1054</v>
      </c>
      <c r="K46" s="27">
        <f t="shared" ref="K46:K55" si="50">IF(C46&lt;&gt;"",VALUE(LEFT(C46,2)),)</f>
        <v>8</v>
      </c>
      <c r="L46" s="7" t="str">
        <f t="shared" ref="L46:L55" si="51">IF(C46&lt;&gt;"",MID(C46,FIND(" ",C46)+1,FIND(" ",C46,FIND(" ",C46)+1)-FIND(" ",C46)-1),"")</f>
        <v>A500C</v>
      </c>
      <c r="M46" s="26">
        <f t="shared" ref="M46:M55" si="52">IF(C46&lt;&gt;"",VALUE(RIGHT(C46,4)),)</f>
        <v>770</v>
      </c>
      <c r="N46" s="26">
        <f t="shared" ref="N46:N55" si="53">D46</f>
        <v>1</v>
      </c>
      <c r="P46" s="6" t="str">
        <f t="shared" ref="P46:P55" si="54">K46&amp;" А500C L = "&amp;M46</f>
        <v>8 А500C L = 770</v>
      </c>
      <c r="R46" s="6">
        <f t="shared" ref="R46:R55" si="55">IF(K46=6,0.222,IF(K46=8,0.395,IF(K46=10,0.617,IF(K46=12,0.888,IF(K46=14,1.208,IF(K46=16,1.578,IF(K46=18,1.998,IF(K46=20,2.466,IF(K46=22,2.984,IF(K46=25,3.853,IF(K46=28,4.83,IF(K46=32,6.31,0))))))))))))</f>
        <v>0.39500000000000002</v>
      </c>
      <c r="T46" s="6">
        <f t="shared" ref="T46:T55" si="56">ROUND(M46/1000*R46,2)</f>
        <v>0.3</v>
      </c>
      <c r="U46" s="6">
        <f t="shared" ref="U46:U55" si="57">T46*N46</f>
        <v>0.3</v>
      </c>
      <c r="X46" s="13" t="str">
        <f t="shared" si="17"/>
        <v/>
      </c>
      <c r="Y46" s="13">
        <f t="shared" si="17"/>
        <v>0.3</v>
      </c>
      <c r="Z46" s="13" t="str">
        <f t="shared" si="17"/>
        <v/>
      </c>
      <c r="AA46" s="13" t="str">
        <f t="shared" si="17"/>
        <v/>
      </c>
      <c r="AB46" s="13" t="str">
        <f t="shared" si="17"/>
        <v/>
      </c>
      <c r="AC46" s="13" t="str">
        <f t="shared" si="17"/>
        <v/>
      </c>
      <c r="AD46" s="13" t="str">
        <f t="shared" si="17"/>
        <v/>
      </c>
      <c r="AE46" s="13" t="str">
        <f t="shared" si="17"/>
        <v/>
      </c>
      <c r="AF46" s="13" t="str">
        <f t="shared" si="17"/>
        <v/>
      </c>
      <c r="AG46" s="13" t="str">
        <f t="shared" si="17"/>
        <v/>
      </c>
      <c r="AH46" s="14"/>
      <c r="AI46" s="13" t="str">
        <f t="shared" si="18"/>
        <v/>
      </c>
      <c r="AJ46" s="13" t="str">
        <f t="shared" si="18"/>
        <v/>
      </c>
      <c r="AK46" s="13" t="str">
        <f t="shared" si="18"/>
        <v/>
      </c>
      <c r="AL46" s="13" t="str">
        <f t="shared" si="18"/>
        <v/>
      </c>
      <c r="AM46" s="13" t="str">
        <f t="shared" si="18"/>
        <v/>
      </c>
      <c r="AN46" s="13" t="str">
        <f t="shared" si="18"/>
        <v/>
      </c>
      <c r="AO46" s="13" t="str">
        <f t="shared" si="18"/>
        <v/>
      </c>
      <c r="AP46" s="13" t="str">
        <f t="shared" si="18"/>
        <v/>
      </c>
      <c r="AQ46" s="13" t="str">
        <f t="shared" si="18"/>
        <v/>
      </c>
      <c r="AR46" s="13" t="str">
        <f t="shared" si="18"/>
        <v/>
      </c>
    </row>
    <row r="47" spans="1:44" ht="14.1" customHeight="1" x14ac:dyDescent="0.25">
      <c r="A47" s="17">
        <v>1054</v>
      </c>
      <c r="B47" s="17" t="s">
        <v>14</v>
      </c>
      <c r="C47" s="17" t="s">
        <v>39</v>
      </c>
      <c r="D47" s="17">
        <v>1</v>
      </c>
      <c r="E47" s="34">
        <f t="shared" si="48"/>
        <v>0.3</v>
      </c>
      <c r="F47" s="35">
        <f t="shared" si="49"/>
        <v>0.3</v>
      </c>
      <c r="G47" s="17">
        <v>0.16</v>
      </c>
      <c r="H47" s="18">
        <v>0.16</v>
      </c>
      <c r="I47" s="22">
        <f t="shared" si="47"/>
        <v>1054</v>
      </c>
      <c r="K47" s="27">
        <f t="shared" si="50"/>
        <v>8</v>
      </c>
      <c r="L47" s="7" t="str">
        <f t="shared" si="51"/>
        <v>A500C</v>
      </c>
      <c r="M47" s="26">
        <f t="shared" si="52"/>
        <v>770</v>
      </c>
      <c r="N47" s="26">
        <f t="shared" si="53"/>
        <v>1</v>
      </c>
      <c r="P47" s="6" t="str">
        <f t="shared" si="54"/>
        <v>8 А500C L = 770</v>
      </c>
      <c r="R47" s="6">
        <f t="shared" si="55"/>
        <v>0.39500000000000002</v>
      </c>
      <c r="T47" s="6">
        <f t="shared" si="56"/>
        <v>0.3</v>
      </c>
      <c r="U47" s="6">
        <f t="shared" si="57"/>
        <v>0.3</v>
      </c>
      <c r="X47" s="13" t="str">
        <f t="shared" ref="X47:AG62" si="58">IF(AND($K47=X$2,$L47=X$1),$F47,"")</f>
        <v/>
      </c>
      <c r="Y47" s="13">
        <f t="shared" si="58"/>
        <v>0.3</v>
      </c>
      <c r="Z47" s="13" t="str">
        <f t="shared" si="58"/>
        <v/>
      </c>
      <c r="AA47" s="13" t="str">
        <f t="shared" si="58"/>
        <v/>
      </c>
      <c r="AB47" s="13" t="str">
        <f t="shared" si="58"/>
        <v/>
      </c>
      <c r="AC47" s="13" t="str">
        <f t="shared" si="58"/>
        <v/>
      </c>
      <c r="AD47" s="13" t="str">
        <f t="shared" si="58"/>
        <v/>
      </c>
      <c r="AE47" s="13" t="str">
        <f t="shared" si="58"/>
        <v/>
      </c>
      <c r="AF47" s="13" t="str">
        <f t="shared" si="58"/>
        <v/>
      </c>
      <c r="AG47" s="13" t="str">
        <f t="shared" si="58"/>
        <v/>
      </c>
      <c r="AH47" s="14"/>
      <c r="AI47" s="13" t="str">
        <f t="shared" ref="AI47:AR62" si="59">IF(AND($K47=AI$2,$L47=AI$1),$F47,"")</f>
        <v/>
      </c>
      <c r="AJ47" s="13" t="str">
        <f t="shared" si="59"/>
        <v/>
      </c>
      <c r="AK47" s="13" t="str">
        <f t="shared" si="59"/>
        <v/>
      </c>
      <c r="AL47" s="13" t="str">
        <f t="shared" si="59"/>
        <v/>
      </c>
      <c r="AM47" s="13" t="str">
        <f t="shared" si="59"/>
        <v/>
      </c>
      <c r="AN47" s="13" t="str">
        <f t="shared" si="59"/>
        <v/>
      </c>
      <c r="AO47" s="13" t="str">
        <f t="shared" si="59"/>
        <v/>
      </c>
      <c r="AP47" s="13" t="str">
        <f t="shared" si="59"/>
        <v/>
      </c>
      <c r="AQ47" s="13" t="str">
        <f t="shared" si="59"/>
        <v/>
      </c>
      <c r="AR47" s="13" t="str">
        <f t="shared" si="59"/>
        <v/>
      </c>
    </row>
    <row r="48" spans="1:44" ht="14.1" customHeight="1" x14ac:dyDescent="0.25">
      <c r="A48" s="17">
        <v>1054</v>
      </c>
      <c r="B48" s="17" t="s">
        <v>14</v>
      </c>
      <c r="C48" s="17" t="s">
        <v>39</v>
      </c>
      <c r="D48" s="17">
        <v>1</v>
      </c>
      <c r="E48" s="34">
        <f t="shared" si="48"/>
        <v>0.3</v>
      </c>
      <c r="F48" s="35">
        <f t="shared" si="49"/>
        <v>0.3</v>
      </c>
      <c r="G48" s="17">
        <v>0.16</v>
      </c>
      <c r="H48" s="18">
        <v>0.16</v>
      </c>
      <c r="I48" s="22">
        <f t="shared" si="47"/>
        <v>1054</v>
      </c>
      <c r="K48" s="27">
        <f t="shared" si="50"/>
        <v>8</v>
      </c>
      <c r="L48" s="7" t="str">
        <f t="shared" si="51"/>
        <v>A500C</v>
      </c>
      <c r="M48" s="26">
        <f t="shared" si="52"/>
        <v>770</v>
      </c>
      <c r="N48" s="26">
        <f t="shared" si="53"/>
        <v>1</v>
      </c>
      <c r="P48" s="6" t="str">
        <f t="shared" si="54"/>
        <v>8 А500C L = 770</v>
      </c>
      <c r="R48" s="6">
        <f t="shared" si="55"/>
        <v>0.39500000000000002</v>
      </c>
      <c r="T48" s="6">
        <f t="shared" si="56"/>
        <v>0.3</v>
      </c>
      <c r="U48" s="6">
        <f t="shared" si="57"/>
        <v>0.3</v>
      </c>
      <c r="X48" s="13" t="str">
        <f t="shared" si="58"/>
        <v/>
      </c>
      <c r="Y48" s="13">
        <f t="shared" si="58"/>
        <v>0.3</v>
      </c>
      <c r="Z48" s="13" t="str">
        <f t="shared" si="58"/>
        <v/>
      </c>
      <c r="AA48" s="13" t="str">
        <f t="shared" si="58"/>
        <v/>
      </c>
      <c r="AB48" s="13" t="str">
        <f t="shared" si="58"/>
        <v/>
      </c>
      <c r="AC48" s="13" t="str">
        <f t="shared" si="58"/>
        <v/>
      </c>
      <c r="AD48" s="13" t="str">
        <f t="shared" si="58"/>
        <v/>
      </c>
      <c r="AE48" s="13" t="str">
        <f t="shared" si="58"/>
        <v/>
      </c>
      <c r="AF48" s="13" t="str">
        <f t="shared" si="58"/>
        <v/>
      </c>
      <c r="AG48" s="13" t="str">
        <f t="shared" si="58"/>
        <v/>
      </c>
      <c r="AH48" s="14"/>
      <c r="AI48" s="13" t="str">
        <f t="shared" si="59"/>
        <v/>
      </c>
      <c r="AJ48" s="13" t="str">
        <f t="shared" si="59"/>
        <v/>
      </c>
      <c r="AK48" s="13" t="str">
        <f t="shared" si="59"/>
        <v/>
      </c>
      <c r="AL48" s="13" t="str">
        <f t="shared" si="59"/>
        <v/>
      </c>
      <c r="AM48" s="13" t="str">
        <f t="shared" si="59"/>
        <v/>
      </c>
      <c r="AN48" s="13" t="str">
        <f t="shared" si="59"/>
        <v/>
      </c>
      <c r="AO48" s="13" t="str">
        <f t="shared" si="59"/>
        <v/>
      </c>
      <c r="AP48" s="13" t="str">
        <f t="shared" si="59"/>
        <v/>
      </c>
      <c r="AQ48" s="13" t="str">
        <f t="shared" si="59"/>
        <v/>
      </c>
      <c r="AR48" s="13" t="str">
        <f t="shared" si="59"/>
        <v/>
      </c>
    </row>
    <row r="49" spans="1:44" ht="14.1" customHeight="1" x14ac:dyDescent="0.25">
      <c r="A49" s="17">
        <v>1054</v>
      </c>
      <c r="B49" s="17" t="s">
        <v>14</v>
      </c>
      <c r="C49" s="17" t="s">
        <v>39</v>
      </c>
      <c r="D49" s="17">
        <v>1</v>
      </c>
      <c r="E49" s="34">
        <f t="shared" si="48"/>
        <v>0.3</v>
      </c>
      <c r="F49" s="35">
        <f t="shared" si="49"/>
        <v>0.3</v>
      </c>
      <c r="G49" s="17">
        <v>0.16</v>
      </c>
      <c r="H49" s="18">
        <v>0.16</v>
      </c>
      <c r="I49" s="22">
        <f t="shared" si="47"/>
        <v>1054</v>
      </c>
      <c r="K49" s="27">
        <f t="shared" si="50"/>
        <v>8</v>
      </c>
      <c r="L49" s="7" t="str">
        <f t="shared" si="51"/>
        <v>A500C</v>
      </c>
      <c r="M49" s="26">
        <f t="shared" si="52"/>
        <v>770</v>
      </c>
      <c r="N49" s="26">
        <f t="shared" si="53"/>
        <v>1</v>
      </c>
      <c r="P49" s="6" t="str">
        <f t="shared" si="54"/>
        <v>8 А500C L = 770</v>
      </c>
      <c r="R49" s="6">
        <f t="shared" si="55"/>
        <v>0.39500000000000002</v>
      </c>
      <c r="T49" s="6">
        <f t="shared" si="56"/>
        <v>0.3</v>
      </c>
      <c r="U49" s="6">
        <f t="shared" si="57"/>
        <v>0.3</v>
      </c>
      <c r="X49" s="13" t="str">
        <f t="shared" si="58"/>
        <v/>
      </c>
      <c r="Y49" s="13">
        <f t="shared" si="58"/>
        <v>0.3</v>
      </c>
      <c r="Z49" s="13" t="str">
        <f t="shared" si="58"/>
        <v/>
      </c>
      <c r="AA49" s="13" t="str">
        <f t="shared" si="58"/>
        <v/>
      </c>
      <c r="AB49" s="13" t="str">
        <f t="shared" si="58"/>
        <v/>
      </c>
      <c r="AC49" s="13" t="str">
        <f t="shared" si="58"/>
        <v/>
      </c>
      <c r="AD49" s="13" t="str">
        <f t="shared" si="58"/>
        <v/>
      </c>
      <c r="AE49" s="13" t="str">
        <f t="shared" si="58"/>
        <v/>
      </c>
      <c r="AF49" s="13" t="str">
        <f t="shared" si="58"/>
        <v/>
      </c>
      <c r="AG49" s="13" t="str">
        <f t="shared" si="58"/>
        <v/>
      </c>
      <c r="AH49" s="14"/>
      <c r="AI49" s="13" t="str">
        <f t="shared" si="59"/>
        <v/>
      </c>
      <c r="AJ49" s="13" t="str">
        <f t="shared" si="59"/>
        <v/>
      </c>
      <c r="AK49" s="13" t="str">
        <f t="shared" si="59"/>
        <v/>
      </c>
      <c r="AL49" s="13" t="str">
        <f t="shared" si="59"/>
        <v/>
      </c>
      <c r="AM49" s="13" t="str">
        <f t="shared" si="59"/>
        <v/>
      </c>
      <c r="AN49" s="13" t="str">
        <f t="shared" si="59"/>
        <v/>
      </c>
      <c r="AO49" s="13" t="str">
        <f t="shared" si="59"/>
        <v/>
      </c>
      <c r="AP49" s="13" t="str">
        <f t="shared" si="59"/>
        <v/>
      </c>
      <c r="AQ49" s="13" t="str">
        <f t="shared" si="59"/>
        <v/>
      </c>
      <c r="AR49" s="13" t="str">
        <f t="shared" si="59"/>
        <v/>
      </c>
    </row>
    <row r="50" spans="1:44" ht="14.1" customHeight="1" x14ac:dyDescent="0.25">
      <c r="A50" s="17">
        <v>1054</v>
      </c>
      <c r="B50" s="17" t="s">
        <v>14</v>
      </c>
      <c r="C50" s="17" t="s">
        <v>39</v>
      </c>
      <c r="D50" s="17">
        <v>1</v>
      </c>
      <c r="E50" s="34">
        <f t="shared" si="48"/>
        <v>0.3</v>
      </c>
      <c r="F50" s="35">
        <f t="shared" si="49"/>
        <v>0.3</v>
      </c>
      <c r="G50" s="17">
        <v>0.16</v>
      </c>
      <c r="H50" s="18">
        <v>0.16</v>
      </c>
      <c r="I50" s="22">
        <f t="shared" si="47"/>
        <v>1054</v>
      </c>
      <c r="K50" s="27">
        <f t="shared" si="50"/>
        <v>8</v>
      </c>
      <c r="L50" s="7" t="str">
        <f t="shared" si="51"/>
        <v>A500C</v>
      </c>
      <c r="M50" s="26">
        <f t="shared" si="52"/>
        <v>770</v>
      </c>
      <c r="N50" s="26">
        <f t="shared" si="53"/>
        <v>1</v>
      </c>
      <c r="P50" s="6" t="str">
        <f t="shared" si="54"/>
        <v>8 А500C L = 770</v>
      </c>
      <c r="R50" s="6">
        <f t="shared" si="55"/>
        <v>0.39500000000000002</v>
      </c>
      <c r="T50" s="6">
        <f t="shared" si="56"/>
        <v>0.3</v>
      </c>
      <c r="U50" s="6">
        <f t="shared" si="57"/>
        <v>0.3</v>
      </c>
      <c r="X50" s="13" t="str">
        <f t="shared" si="58"/>
        <v/>
      </c>
      <c r="Y50" s="13">
        <f t="shared" si="58"/>
        <v>0.3</v>
      </c>
      <c r="Z50" s="13" t="str">
        <f t="shared" si="58"/>
        <v/>
      </c>
      <c r="AA50" s="13" t="str">
        <f t="shared" si="58"/>
        <v/>
      </c>
      <c r="AB50" s="13" t="str">
        <f t="shared" si="58"/>
        <v/>
      </c>
      <c r="AC50" s="13" t="str">
        <f t="shared" si="58"/>
        <v/>
      </c>
      <c r="AD50" s="13" t="str">
        <f t="shared" si="58"/>
        <v/>
      </c>
      <c r="AE50" s="13" t="str">
        <f t="shared" si="58"/>
        <v/>
      </c>
      <c r="AF50" s="13" t="str">
        <f t="shared" si="58"/>
        <v/>
      </c>
      <c r="AG50" s="13" t="str">
        <f t="shared" si="58"/>
        <v/>
      </c>
      <c r="AH50" s="14"/>
      <c r="AI50" s="13" t="str">
        <f t="shared" si="59"/>
        <v/>
      </c>
      <c r="AJ50" s="13" t="str">
        <f t="shared" si="59"/>
        <v/>
      </c>
      <c r="AK50" s="13" t="str">
        <f t="shared" si="59"/>
        <v/>
      </c>
      <c r="AL50" s="13" t="str">
        <f t="shared" si="59"/>
        <v/>
      </c>
      <c r="AM50" s="13" t="str">
        <f t="shared" si="59"/>
        <v/>
      </c>
      <c r="AN50" s="13" t="str">
        <f t="shared" si="59"/>
        <v/>
      </c>
      <c r="AO50" s="13" t="str">
        <f t="shared" si="59"/>
        <v/>
      </c>
      <c r="AP50" s="13" t="str">
        <f t="shared" si="59"/>
        <v/>
      </c>
      <c r="AQ50" s="13" t="str">
        <f t="shared" si="59"/>
        <v/>
      </c>
      <c r="AR50" s="13" t="str">
        <f t="shared" si="59"/>
        <v/>
      </c>
    </row>
    <row r="51" spans="1:44" ht="14.1" customHeight="1" x14ac:dyDescent="0.25">
      <c r="A51" s="17">
        <v>1054</v>
      </c>
      <c r="B51" s="17" t="s">
        <v>14</v>
      </c>
      <c r="C51" s="17" t="s">
        <v>39</v>
      </c>
      <c r="D51" s="17">
        <v>1</v>
      </c>
      <c r="E51" s="34">
        <f t="shared" si="48"/>
        <v>0.3</v>
      </c>
      <c r="F51" s="35">
        <f t="shared" si="49"/>
        <v>0.3</v>
      </c>
      <c r="G51" s="17">
        <v>0.16</v>
      </c>
      <c r="H51" s="18">
        <v>0.16</v>
      </c>
      <c r="I51" s="22">
        <f t="shared" si="47"/>
        <v>1054</v>
      </c>
      <c r="K51" s="27">
        <f t="shared" si="50"/>
        <v>8</v>
      </c>
      <c r="L51" s="7" t="str">
        <f t="shared" si="51"/>
        <v>A500C</v>
      </c>
      <c r="M51" s="26">
        <f t="shared" si="52"/>
        <v>770</v>
      </c>
      <c r="N51" s="26">
        <f t="shared" si="53"/>
        <v>1</v>
      </c>
      <c r="P51" s="6" t="str">
        <f t="shared" si="54"/>
        <v>8 А500C L = 770</v>
      </c>
      <c r="R51" s="6">
        <f t="shared" si="55"/>
        <v>0.39500000000000002</v>
      </c>
      <c r="T51" s="6">
        <f t="shared" si="56"/>
        <v>0.3</v>
      </c>
      <c r="U51" s="6">
        <f t="shared" si="57"/>
        <v>0.3</v>
      </c>
      <c r="X51" s="13" t="str">
        <f t="shared" si="58"/>
        <v/>
      </c>
      <c r="Y51" s="13">
        <f t="shared" si="58"/>
        <v>0.3</v>
      </c>
      <c r="Z51" s="13" t="str">
        <f t="shared" si="58"/>
        <v/>
      </c>
      <c r="AA51" s="13" t="str">
        <f t="shared" si="58"/>
        <v/>
      </c>
      <c r="AB51" s="13" t="str">
        <f t="shared" si="58"/>
        <v/>
      </c>
      <c r="AC51" s="13" t="str">
        <f t="shared" si="58"/>
        <v/>
      </c>
      <c r="AD51" s="13" t="str">
        <f t="shared" si="58"/>
        <v/>
      </c>
      <c r="AE51" s="13" t="str">
        <f t="shared" si="58"/>
        <v/>
      </c>
      <c r="AF51" s="13" t="str">
        <f t="shared" si="58"/>
        <v/>
      </c>
      <c r="AG51" s="13" t="str">
        <f t="shared" si="58"/>
        <v/>
      </c>
      <c r="AH51" s="14"/>
      <c r="AI51" s="13" t="str">
        <f t="shared" si="59"/>
        <v/>
      </c>
      <c r="AJ51" s="13" t="str">
        <f t="shared" si="59"/>
        <v/>
      </c>
      <c r="AK51" s="13" t="str">
        <f t="shared" si="59"/>
        <v/>
      </c>
      <c r="AL51" s="13" t="str">
        <f t="shared" si="59"/>
        <v/>
      </c>
      <c r="AM51" s="13" t="str">
        <f t="shared" si="59"/>
        <v/>
      </c>
      <c r="AN51" s="13" t="str">
        <f t="shared" si="59"/>
        <v/>
      </c>
      <c r="AO51" s="13" t="str">
        <f t="shared" si="59"/>
        <v/>
      </c>
      <c r="AP51" s="13" t="str">
        <f t="shared" si="59"/>
        <v/>
      </c>
      <c r="AQ51" s="13" t="str">
        <f t="shared" si="59"/>
        <v/>
      </c>
      <c r="AR51" s="13" t="str">
        <f t="shared" si="59"/>
        <v/>
      </c>
    </row>
    <row r="52" spans="1:44" ht="14.1" customHeight="1" x14ac:dyDescent="0.25">
      <c r="A52" s="17">
        <v>1054</v>
      </c>
      <c r="B52" s="17" t="s">
        <v>14</v>
      </c>
      <c r="C52" s="17" t="s">
        <v>39</v>
      </c>
      <c r="D52" s="17">
        <v>1</v>
      </c>
      <c r="E52" s="34">
        <f t="shared" si="48"/>
        <v>0.3</v>
      </c>
      <c r="F52" s="35">
        <f t="shared" si="49"/>
        <v>0.3</v>
      </c>
      <c r="G52" s="17">
        <v>0.16</v>
      </c>
      <c r="H52" s="18">
        <v>0.16</v>
      </c>
      <c r="I52" s="22">
        <f t="shared" si="47"/>
        <v>1054</v>
      </c>
      <c r="K52" s="27">
        <f t="shared" si="50"/>
        <v>8</v>
      </c>
      <c r="L52" s="7" t="str">
        <f t="shared" si="51"/>
        <v>A500C</v>
      </c>
      <c r="M52" s="26">
        <f t="shared" si="52"/>
        <v>770</v>
      </c>
      <c r="N52" s="26">
        <f t="shared" si="53"/>
        <v>1</v>
      </c>
      <c r="P52" s="6" t="str">
        <f t="shared" si="54"/>
        <v>8 А500C L = 770</v>
      </c>
      <c r="R52" s="6">
        <f t="shared" si="55"/>
        <v>0.39500000000000002</v>
      </c>
      <c r="T52" s="6">
        <f t="shared" si="56"/>
        <v>0.3</v>
      </c>
      <c r="U52" s="6">
        <f t="shared" si="57"/>
        <v>0.3</v>
      </c>
      <c r="X52" s="13" t="str">
        <f t="shared" si="58"/>
        <v/>
      </c>
      <c r="Y52" s="13">
        <f t="shared" si="58"/>
        <v>0.3</v>
      </c>
      <c r="Z52" s="13" t="str">
        <f t="shared" si="58"/>
        <v/>
      </c>
      <c r="AA52" s="13" t="str">
        <f t="shared" si="58"/>
        <v/>
      </c>
      <c r="AB52" s="13" t="str">
        <f t="shared" si="58"/>
        <v/>
      </c>
      <c r="AC52" s="13" t="str">
        <f t="shared" si="58"/>
        <v/>
      </c>
      <c r="AD52" s="13" t="str">
        <f t="shared" si="58"/>
        <v/>
      </c>
      <c r="AE52" s="13" t="str">
        <f t="shared" si="58"/>
        <v/>
      </c>
      <c r="AF52" s="13" t="str">
        <f t="shared" si="58"/>
        <v/>
      </c>
      <c r="AG52" s="13" t="str">
        <f t="shared" si="58"/>
        <v/>
      </c>
      <c r="AH52" s="14"/>
      <c r="AI52" s="13" t="str">
        <f t="shared" si="59"/>
        <v/>
      </c>
      <c r="AJ52" s="13" t="str">
        <f t="shared" si="59"/>
        <v/>
      </c>
      <c r="AK52" s="13" t="str">
        <f t="shared" si="59"/>
        <v/>
      </c>
      <c r="AL52" s="13" t="str">
        <f t="shared" si="59"/>
        <v/>
      </c>
      <c r="AM52" s="13" t="str">
        <f t="shared" si="59"/>
        <v/>
      </c>
      <c r="AN52" s="13" t="str">
        <f t="shared" si="59"/>
        <v/>
      </c>
      <c r="AO52" s="13" t="str">
        <f t="shared" si="59"/>
        <v/>
      </c>
      <c r="AP52" s="13" t="str">
        <f t="shared" si="59"/>
        <v/>
      </c>
      <c r="AQ52" s="13" t="str">
        <f t="shared" si="59"/>
        <v/>
      </c>
      <c r="AR52" s="13" t="str">
        <f t="shared" si="59"/>
        <v/>
      </c>
    </row>
    <row r="53" spans="1:44" ht="14.1" customHeight="1" x14ac:dyDescent="0.25">
      <c r="A53" s="17">
        <v>1054</v>
      </c>
      <c r="B53" s="17" t="s">
        <v>14</v>
      </c>
      <c r="C53" s="17" t="s">
        <v>39</v>
      </c>
      <c r="D53" s="17">
        <v>1</v>
      </c>
      <c r="E53" s="34">
        <f t="shared" si="48"/>
        <v>0.3</v>
      </c>
      <c r="F53" s="35">
        <f t="shared" si="49"/>
        <v>0.3</v>
      </c>
      <c r="G53" s="17">
        <v>0.16</v>
      </c>
      <c r="H53" s="18">
        <v>0.16</v>
      </c>
      <c r="I53" s="22">
        <f t="shared" si="47"/>
        <v>1054</v>
      </c>
      <c r="K53" s="27">
        <f t="shared" si="50"/>
        <v>8</v>
      </c>
      <c r="L53" s="7" t="str">
        <f t="shared" si="51"/>
        <v>A500C</v>
      </c>
      <c r="M53" s="26">
        <f t="shared" si="52"/>
        <v>770</v>
      </c>
      <c r="N53" s="26">
        <f t="shared" si="53"/>
        <v>1</v>
      </c>
      <c r="P53" s="6" t="str">
        <f t="shared" si="54"/>
        <v>8 А500C L = 770</v>
      </c>
      <c r="R53" s="6">
        <f t="shared" si="55"/>
        <v>0.39500000000000002</v>
      </c>
      <c r="T53" s="6">
        <f t="shared" si="56"/>
        <v>0.3</v>
      </c>
      <c r="U53" s="6">
        <f t="shared" si="57"/>
        <v>0.3</v>
      </c>
      <c r="X53" s="13" t="str">
        <f t="shared" si="58"/>
        <v/>
      </c>
      <c r="Y53" s="13">
        <f t="shared" si="58"/>
        <v>0.3</v>
      </c>
      <c r="Z53" s="13" t="str">
        <f t="shared" si="58"/>
        <v/>
      </c>
      <c r="AA53" s="13" t="str">
        <f t="shared" si="58"/>
        <v/>
      </c>
      <c r="AB53" s="13" t="str">
        <f t="shared" si="58"/>
        <v/>
      </c>
      <c r="AC53" s="13" t="str">
        <f t="shared" si="58"/>
        <v/>
      </c>
      <c r="AD53" s="13" t="str">
        <f t="shared" si="58"/>
        <v/>
      </c>
      <c r="AE53" s="13" t="str">
        <f t="shared" si="58"/>
        <v/>
      </c>
      <c r="AF53" s="13" t="str">
        <f t="shared" si="58"/>
        <v/>
      </c>
      <c r="AG53" s="13" t="str">
        <f t="shared" si="58"/>
        <v/>
      </c>
      <c r="AH53" s="14"/>
      <c r="AI53" s="13" t="str">
        <f t="shared" si="59"/>
        <v/>
      </c>
      <c r="AJ53" s="13" t="str">
        <f t="shared" si="59"/>
        <v/>
      </c>
      <c r="AK53" s="13" t="str">
        <f t="shared" si="59"/>
        <v/>
      </c>
      <c r="AL53" s="13" t="str">
        <f t="shared" si="59"/>
        <v/>
      </c>
      <c r="AM53" s="13" t="str">
        <f t="shared" si="59"/>
        <v/>
      </c>
      <c r="AN53" s="13" t="str">
        <f t="shared" si="59"/>
        <v/>
      </c>
      <c r="AO53" s="13" t="str">
        <f t="shared" si="59"/>
        <v/>
      </c>
      <c r="AP53" s="13" t="str">
        <f t="shared" si="59"/>
        <v/>
      </c>
      <c r="AQ53" s="13" t="str">
        <f t="shared" si="59"/>
        <v/>
      </c>
      <c r="AR53" s="13" t="str">
        <f t="shared" si="59"/>
        <v/>
      </c>
    </row>
    <row r="54" spans="1:44" ht="14.1" customHeight="1" x14ac:dyDescent="0.25">
      <c r="A54" s="17">
        <v>1054</v>
      </c>
      <c r="B54" s="17" t="s">
        <v>14</v>
      </c>
      <c r="C54" s="17" t="s">
        <v>39</v>
      </c>
      <c r="D54" s="17">
        <v>1</v>
      </c>
      <c r="E54" s="34">
        <f t="shared" si="48"/>
        <v>0.3</v>
      </c>
      <c r="F54" s="35">
        <f t="shared" si="49"/>
        <v>0.3</v>
      </c>
      <c r="G54" s="17">
        <v>0.16</v>
      </c>
      <c r="H54" s="18">
        <v>0.16</v>
      </c>
      <c r="I54" s="22">
        <f t="shared" si="47"/>
        <v>1054</v>
      </c>
      <c r="K54" s="27">
        <f t="shared" si="50"/>
        <v>8</v>
      </c>
      <c r="L54" s="7" t="str">
        <f t="shared" si="51"/>
        <v>A500C</v>
      </c>
      <c r="M54" s="26">
        <f t="shared" si="52"/>
        <v>770</v>
      </c>
      <c r="N54" s="26">
        <f t="shared" si="53"/>
        <v>1</v>
      </c>
      <c r="P54" s="6" t="str">
        <f t="shared" si="54"/>
        <v>8 А500C L = 770</v>
      </c>
      <c r="R54" s="6">
        <f t="shared" si="55"/>
        <v>0.39500000000000002</v>
      </c>
      <c r="T54" s="6">
        <f t="shared" si="56"/>
        <v>0.3</v>
      </c>
      <c r="U54" s="6">
        <f t="shared" si="57"/>
        <v>0.3</v>
      </c>
      <c r="X54" s="13" t="str">
        <f t="shared" si="58"/>
        <v/>
      </c>
      <c r="Y54" s="13">
        <f t="shared" si="58"/>
        <v>0.3</v>
      </c>
      <c r="Z54" s="13" t="str">
        <f t="shared" si="58"/>
        <v/>
      </c>
      <c r="AA54" s="13" t="str">
        <f t="shared" si="58"/>
        <v/>
      </c>
      <c r="AB54" s="13" t="str">
        <f t="shared" si="58"/>
        <v/>
      </c>
      <c r="AC54" s="13" t="str">
        <f t="shared" si="58"/>
        <v/>
      </c>
      <c r="AD54" s="13" t="str">
        <f t="shared" si="58"/>
        <v/>
      </c>
      <c r="AE54" s="13" t="str">
        <f t="shared" si="58"/>
        <v/>
      </c>
      <c r="AF54" s="13" t="str">
        <f t="shared" si="58"/>
        <v/>
      </c>
      <c r="AG54" s="13" t="str">
        <f t="shared" si="58"/>
        <v/>
      </c>
      <c r="AH54" s="14"/>
      <c r="AI54" s="13" t="str">
        <f t="shared" si="59"/>
        <v/>
      </c>
      <c r="AJ54" s="13" t="str">
        <f t="shared" si="59"/>
        <v/>
      </c>
      <c r="AK54" s="13" t="str">
        <f t="shared" si="59"/>
        <v/>
      </c>
      <c r="AL54" s="13" t="str">
        <f t="shared" si="59"/>
        <v/>
      </c>
      <c r="AM54" s="13" t="str">
        <f t="shared" si="59"/>
        <v/>
      </c>
      <c r="AN54" s="13" t="str">
        <f t="shared" si="59"/>
        <v/>
      </c>
      <c r="AO54" s="13" t="str">
        <f t="shared" si="59"/>
        <v/>
      </c>
      <c r="AP54" s="13" t="str">
        <f t="shared" si="59"/>
        <v/>
      </c>
      <c r="AQ54" s="13" t="str">
        <f t="shared" si="59"/>
        <v/>
      </c>
      <c r="AR54" s="13" t="str">
        <f t="shared" si="59"/>
        <v/>
      </c>
    </row>
    <row r="55" spans="1:44" ht="14.1" customHeight="1" x14ac:dyDescent="0.25">
      <c r="A55" s="17">
        <v>1054</v>
      </c>
      <c r="B55" s="17" t="s">
        <v>14</v>
      </c>
      <c r="C55" s="17" t="s">
        <v>39</v>
      </c>
      <c r="D55" s="17">
        <v>1</v>
      </c>
      <c r="E55" s="34">
        <f t="shared" si="48"/>
        <v>0.3</v>
      </c>
      <c r="F55" s="35">
        <f t="shared" si="49"/>
        <v>0.3</v>
      </c>
      <c r="G55" s="17">
        <v>0.16</v>
      </c>
      <c r="H55" s="18">
        <v>0.16</v>
      </c>
      <c r="I55" s="22">
        <f t="shared" si="47"/>
        <v>1054</v>
      </c>
      <c r="K55" s="27">
        <f t="shared" si="50"/>
        <v>8</v>
      </c>
      <c r="L55" s="7" t="str">
        <f t="shared" si="51"/>
        <v>A500C</v>
      </c>
      <c r="M55" s="26">
        <f t="shared" si="52"/>
        <v>770</v>
      </c>
      <c r="N55" s="26">
        <f t="shared" si="53"/>
        <v>1</v>
      </c>
      <c r="P55" s="6" t="str">
        <f t="shared" si="54"/>
        <v>8 А500C L = 770</v>
      </c>
      <c r="R55" s="6">
        <f t="shared" si="55"/>
        <v>0.39500000000000002</v>
      </c>
      <c r="T55" s="6">
        <f t="shared" si="56"/>
        <v>0.3</v>
      </c>
      <c r="U55" s="6">
        <f t="shared" si="57"/>
        <v>0.3</v>
      </c>
      <c r="X55" s="13" t="str">
        <f t="shared" si="58"/>
        <v/>
      </c>
      <c r="Y55" s="13">
        <f t="shared" si="58"/>
        <v>0.3</v>
      </c>
      <c r="Z55" s="13" t="str">
        <f t="shared" si="58"/>
        <v/>
      </c>
      <c r="AA55" s="13" t="str">
        <f t="shared" si="58"/>
        <v/>
      </c>
      <c r="AB55" s="13" t="str">
        <f t="shared" si="58"/>
        <v/>
      </c>
      <c r="AC55" s="13" t="str">
        <f t="shared" si="58"/>
        <v/>
      </c>
      <c r="AD55" s="13" t="str">
        <f t="shared" si="58"/>
        <v/>
      </c>
      <c r="AE55" s="13" t="str">
        <f t="shared" si="58"/>
        <v/>
      </c>
      <c r="AF55" s="13" t="str">
        <f t="shared" si="58"/>
        <v/>
      </c>
      <c r="AG55" s="13" t="str">
        <f t="shared" si="58"/>
        <v/>
      </c>
      <c r="AH55" s="14"/>
      <c r="AI55" s="13" t="str">
        <f t="shared" si="59"/>
        <v/>
      </c>
      <c r="AJ55" s="13" t="str">
        <f t="shared" si="59"/>
        <v/>
      </c>
      <c r="AK55" s="13" t="str">
        <f t="shared" si="59"/>
        <v/>
      </c>
      <c r="AL55" s="13" t="str">
        <f t="shared" si="59"/>
        <v/>
      </c>
      <c r="AM55" s="13" t="str">
        <f t="shared" si="59"/>
        <v/>
      </c>
      <c r="AN55" s="13" t="str">
        <f t="shared" si="59"/>
        <v/>
      </c>
      <c r="AO55" s="13" t="str">
        <f t="shared" si="59"/>
        <v/>
      </c>
      <c r="AP55" s="13" t="str">
        <f t="shared" si="59"/>
        <v/>
      </c>
      <c r="AQ55" s="13" t="str">
        <f t="shared" si="59"/>
        <v/>
      </c>
      <c r="AR55" s="13" t="str">
        <f t="shared" si="59"/>
        <v/>
      </c>
    </row>
    <row r="56" spans="1:44" ht="14.1" customHeight="1" x14ac:dyDescent="0.25">
      <c r="A56" s="30"/>
      <c r="B56" s="3"/>
      <c r="C56" s="33" t="s">
        <v>43</v>
      </c>
      <c r="D56" s="3">
        <v>1</v>
      </c>
      <c r="E56" s="23">
        <f>SUM(F57:F66)</f>
        <v>2.9999999999999996</v>
      </c>
      <c r="F56" s="24">
        <f>D56*E56</f>
        <v>2.9999999999999996</v>
      </c>
      <c r="G56" s="17">
        <v>71.3</v>
      </c>
      <c r="H56" s="18">
        <v>71.3</v>
      </c>
      <c r="I56" s="22">
        <f t="shared" ref="I56:I66" si="60">A56</f>
        <v>0</v>
      </c>
      <c r="K56" s="27"/>
      <c r="L56" s="7"/>
      <c r="M56" s="26"/>
      <c r="N56" s="26"/>
      <c r="P56" s="6"/>
      <c r="R56" s="6">
        <f t="shared" si="29"/>
        <v>0</v>
      </c>
      <c r="T56" s="6"/>
      <c r="U56" s="6"/>
      <c r="X56" s="13" t="str">
        <f t="shared" ref="X56:AG56" si="61">IF(AND($K56=X$2,$L56=X$1),$F56,"")</f>
        <v/>
      </c>
      <c r="Y56" s="13" t="str">
        <f t="shared" si="61"/>
        <v/>
      </c>
      <c r="Z56" s="13" t="str">
        <f t="shared" si="61"/>
        <v/>
      </c>
      <c r="AA56" s="13" t="str">
        <f t="shared" si="61"/>
        <v/>
      </c>
      <c r="AB56" s="13" t="str">
        <f t="shared" si="61"/>
        <v/>
      </c>
      <c r="AC56" s="13" t="str">
        <f t="shared" si="61"/>
        <v/>
      </c>
      <c r="AD56" s="13" t="str">
        <f t="shared" si="61"/>
        <v/>
      </c>
      <c r="AE56" s="13" t="str">
        <f t="shared" si="61"/>
        <v/>
      </c>
      <c r="AF56" s="13" t="str">
        <f t="shared" si="61"/>
        <v/>
      </c>
      <c r="AG56" s="13" t="str">
        <f t="shared" si="61"/>
        <v/>
      </c>
      <c r="AH56" s="14"/>
      <c r="AI56" s="13" t="str">
        <f t="shared" ref="AI56:AR56" si="62">IF(AND($K56=AI$2,$L56=AI$1),$F56,"")</f>
        <v/>
      </c>
      <c r="AJ56" s="13" t="str">
        <f t="shared" si="62"/>
        <v/>
      </c>
      <c r="AK56" s="13" t="str">
        <f t="shared" si="62"/>
        <v/>
      </c>
      <c r="AL56" s="13" t="str">
        <f t="shared" si="62"/>
        <v/>
      </c>
      <c r="AM56" s="13" t="str">
        <f t="shared" si="62"/>
        <v/>
      </c>
      <c r="AN56" s="13" t="str">
        <f t="shared" si="62"/>
        <v/>
      </c>
      <c r="AO56" s="13" t="str">
        <f t="shared" si="62"/>
        <v/>
      </c>
      <c r="AP56" s="13" t="str">
        <f t="shared" si="62"/>
        <v/>
      </c>
      <c r="AQ56" s="13" t="str">
        <f t="shared" si="62"/>
        <v/>
      </c>
      <c r="AR56" s="13" t="str">
        <f t="shared" si="62"/>
        <v/>
      </c>
    </row>
    <row r="57" spans="1:44" ht="14.1" customHeight="1" x14ac:dyDescent="0.25">
      <c r="A57" s="17">
        <v>1054</v>
      </c>
      <c r="B57" s="17" t="s">
        <v>14</v>
      </c>
      <c r="C57" s="17" t="s">
        <v>39</v>
      </c>
      <c r="D57" s="17">
        <v>1</v>
      </c>
      <c r="E57" s="34">
        <f t="shared" ref="E57:E66" si="63">T57</f>
        <v>0.3</v>
      </c>
      <c r="F57" s="35">
        <f t="shared" ref="F57:F66" si="64">U57</f>
        <v>0.3</v>
      </c>
      <c r="G57" s="17">
        <v>0.16</v>
      </c>
      <c r="H57" s="18">
        <v>0.16</v>
      </c>
      <c r="I57" s="22">
        <f t="shared" si="60"/>
        <v>1054</v>
      </c>
      <c r="K57" s="27">
        <f t="shared" ref="K57:K66" si="65">IF(C57&lt;&gt;"",VALUE(LEFT(C57,2)),)</f>
        <v>8</v>
      </c>
      <c r="L57" s="7" t="str">
        <f t="shared" ref="L57:L66" si="66">IF(C57&lt;&gt;"",MID(C57,FIND(" ",C57)+1,FIND(" ",C57,FIND(" ",C57)+1)-FIND(" ",C57)-1),"")</f>
        <v>A500C</v>
      </c>
      <c r="M57" s="26">
        <f t="shared" ref="M57:M66" si="67">IF(C57&lt;&gt;"",VALUE(RIGHT(C57,4)),)</f>
        <v>770</v>
      </c>
      <c r="N57" s="26">
        <f t="shared" ref="N57:N66" si="68">D57</f>
        <v>1</v>
      </c>
      <c r="P57" s="6" t="str">
        <f t="shared" ref="P57:P66" si="69">K57&amp;" А500C L = "&amp;M57</f>
        <v>8 А500C L = 770</v>
      </c>
      <c r="R57" s="6">
        <f t="shared" si="29"/>
        <v>0.39500000000000002</v>
      </c>
      <c r="T57" s="6">
        <f t="shared" ref="T57:T66" si="70">ROUND(M57/1000*R57,2)</f>
        <v>0.3</v>
      </c>
      <c r="U57" s="6">
        <f t="shared" ref="U57:U66" si="71">T57*N57</f>
        <v>0.3</v>
      </c>
      <c r="X57" s="13" t="str">
        <f t="shared" si="58"/>
        <v/>
      </c>
      <c r="Y57" s="13">
        <f t="shared" si="58"/>
        <v>0.3</v>
      </c>
      <c r="Z57" s="13" t="str">
        <f t="shared" si="58"/>
        <v/>
      </c>
      <c r="AA57" s="13" t="str">
        <f t="shared" si="58"/>
        <v/>
      </c>
      <c r="AB57" s="13" t="str">
        <f t="shared" si="58"/>
        <v/>
      </c>
      <c r="AC57" s="13" t="str">
        <f t="shared" si="58"/>
        <v/>
      </c>
      <c r="AD57" s="13" t="str">
        <f t="shared" si="58"/>
        <v/>
      </c>
      <c r="AE57" s="13" t="str">
        <f t="shared" si="58"/>
        <v/>
      </c>
      <c r="AF57" s="13" t="str">
        <f t="shared" si="58"/>
        <v/>
      </c>
      <c r="AG57" s="13" t="str">
        <f t="shared" si="58"/>
        <v/>
      </c>
      <c r="AH57" s="14"/>
      <c r="AI57" s="13" t="str">
        <f t="shared" si="59"/>
        <v/>
      </c>
      <c r="AJ57" s="13" t="str">
        <f t="shared" si="59"/>
        <v/>
      </c>
      <c r="AK57" s="13" t="str">
        <f t="shared" si="59"/>
        <v/>
      </c>
      <c r="AL57" s="13" t="str">
        <f t="shared" si="59"/>
        <v/>
      </c>
      <c r="AM57" s="13" t="str">
        <f t="shared" si="59"/>
        <v/>
      </c>
      <c r="AN57" s="13" t="str">
        <f t="shared" si="59"/>
        <v/>
      </c>
      <c r="AO57" s="13" t="str">
        <f t="shared" si="59"/>
        <v/>
      </c>
      <c r="AP57" s="13" t="str">
        <f t="shared" si="59"/>
        <v/>
      </c>
      <c r="AQ57" s="13" t="str">
        <f t="shared" si="59"/>
        <v/>
      </c>
      <c r="AR57" s="13" t="str">
        <f t="shared" si="59"/>
        <v/>
      </c>
    </row>
    <row r="58" spans="1:44" ht="14.1" customHeight="1" x14ac:dyDescent="0.25">
      <c r="A58" s="17">
        <v>1054</v>
      </c>
      <c r="B58" s="17" t="s">
        <v>14</v>
      </c>
      <c r="C58" s="17" t="s">
        <v>39</v>
      </c>
      <c r="D58" s="17">
        <v>1</v>
      </c>
      <c r="E58" s="34">
        <f t="shared" si="63"/>
        <v>0.3</v>
      </c>
      <c r="F58" s="35">
        <f t="shared" si="64"/>
        <v>0.3</v>
      </c>
      <c r="G58" s="17">
        <v>0.16</v>
      </c>
      <c r="H58" s="18">
        <v>0.16</v>
      </c>
      <c r="I58" s="22">
        <f t="shared" si="60"/>
        <v>1054</v>
      </c>
      <c r="K58" s="27">
        <f t="shared" si="65"/>
        <v>8</v>
      </c>
      <c r="L58" s="7" t="str">
        <f t="shared" si="66"/>
        <v>A500C</v>
      </c>
      <c r="M58" s="26">
        <f t="shared" si="67"/>
        <v>770</v>
      </c>
      <c r="N58" s="26">
        <f t="shared" si="68"/>
        <v>1</v>
      </c>
      <c r="P58" s="6" t="str">
        <f t="shared" si="69"/>
        <v>8 А500C L = 770</v>
      </c>
      <c r="R58" s="6">
        <f t="shared" si="29"/>
        <v>0.39500000000000002</v>
      </c>
      <c r="T58" s="6">
        <f t="shared" si="70"/>
        <v>0.3</v>
      </c>
      <c r="U58" s="6">
        <f t="shared" si="71"/>
        <v>0.3</v>
      </c>
      <c r="X58" s="13" t="str">
        <f t="shared" si="58"/>
        <v/>
      </c>
      <c r="Y58" s="13">
        <f t="shared" si="58"/>
        <v>0.3</v>
      </c>
      <c r="Z58" s="13" t="str">
        <f t="shared" si="58"/>
        <v/>
      </c>
      <c r="AA58" s="13" t="str">
        <f t="shared" si="58"/>
        <v/>
      </c>
      <c r="AB58" s="13" t="str">
        <f t="shared" si="58"/>
        <v/>
      </c>
      <c r="AC58" s="13" t="str">
        <f t="shared" si="58"/>
        <v/>
      </c>
      <c r="AD58" s="13" t="str">
        <f t="shared" si="58"/>
        <v/>
      </c>
      <c r="AE58" s="13" t="str">
        <f t="shared" si="58"/>
        <v/>
      </c>
      <c r="AF58" s="13" t="str">
        <f t="shared" si="58"/>
        <v/>
      </c>
      <c r="AG58" s="13" t="str">
        <f t="shared" si="58"/>
        <v/>
      </c>
      <c r="AH58" s="14"/>
      <c r="AI58" s="13" t="str">
        <f t="shared" si="59"/>
        <v/>
      </c>
      <c r="AJ58" s="13" t="str">
        <f t="shared" si="59"/>
        <v/>
      </c>
      <c r="AK58" s="13" t="str">
        <f t="shared" si="59"/>
        <v/>
      </c>
      <c r="AL58" s="13" t="str">
        <f t="shared" si="59"/>
        <v/>
      </c>
      <c r="AM58" s="13" t="str">
        <f t="shared" si="59"/>
        <v/>
      </c>
      <c r="AN58" s="13" t="str">
        <f t="shared" si="59"/>
        <v/>
      </c>
      <c r="AO58" s="13" t="str">
        <f t="shared" si="59"/>
        <v/>
      </c>
      <c r="AP58" s="13" t="str">
        <f t="shared" si="59"/>
        <v/>
      </c>
      <c r="AQ58" s="13" t="str">
        <f t="shared" si="59"/>
        <v/>
      </c>
      <c r="AR58" s="13" t="str">
        <f t="shared" si="59"/>
        <v/>
      </c>
    </row>
    <row r="59" spans="1:44" ht="14.1" customHeight="1" x14ac:dyDescent="0.25">
      <c r="A59" s="17">
        <v>1054</v>
      </c>
      <c r="B59" s="17" t="s">
        <v>14</v>
      </c>
      <c r="C59" s="17" t="s">
        <v>39</v>
      </c>
      <c r="D59" s="17">
        <v>1</v>
      </c>
      <c r="E59" s="34">
        <f t="shared" si="63"/>
        <v>0.3</v>
      </c>
      <c r="F59" s="35">
        <f t="shared" si="64"/>
        <v>0.3</v>
      </c>
      <c r="G59" s="17">
        <v>0.16</v>
      </c>
      <c r="H59" s="18">
        <v>0.16</v>
      </c>
      <c r="I59" s="22">
        <f t="shared" si="60"/>
        <v>1054</v>
      </c>
      <c r="K59" s="27">
        <f t="shared" si="65"/>
        <v>8</v>
      </c>
      <c r="L59" s="7" t="str">
        <f t="shared" si="66"/>
        <v>A500C</v>
      </c>
      <c r="M59" s="26">
        <f t="shared" si="67"/>
        <v>770</v>
      </c>
      <c r="N59" s="26">
        <f t="shared" si="68"/>
        <v>1</v>
      </c>
      <c r="P59" s="6" t="str">
        <f t="shared" si="69"/>
        <v>8 А500C L = 770</v>
      </c>
      <c r="R59" s="6">
        <f t="shared" si="29"/>
        <v>0.39500000000000002</v>
      </c>
      <c r="T59" s="6">
        <f t="shared" si="70"/>
        <v>0.3</v>
      </c>
      <c r="U59" s="6">
        <f t="shared" si="71"/>
        <v>0.3</v>
      </c>
      <c r="X59" s="13" t="str">
        <f t="shared" si="58"/>
        <v/>
      </c>
      <c r="Y59" s="13">
        <f t="shared" si="58"/>
        <v>0.3</v>
      </c>
      <c r="Z59" s="13" t="str">
        <f t="shared" si="58"/>
        <v/>
      </c>
      <c r="AA59" s="13" t="str">
        <f t="shared" si="58"/>
        <v/>
      </c>
      <c r="AB59" s="13" t="str">
        <f t="shared" si="58"/>
        <v/>
      </c>
      <c r="AC59" s="13" t="str">
        <f t="shared" si="58"/>
        <v/>
      </c>
      <c r="AD59" s="13" t="str">
        <f t="shared" si="58"/>
        <v/>
      </c>
      <c r="AE59" s="13" t="str">
        <f t="shared" si="58"/>
        <v/>
      </c>
      <c r="AF59" s="13" t="str">
        <f t="shared" si="58"/>
        <v/>
      </c>
      <c r="AG59" s="13" t="str">
        <f t="shared" si="58"/>
        <v/>
      </c>
      <c r="AH59" s="14"/>
      <c r="AI59" s="13" t="str">
        <f t="shared" si="59"/>
        <v/>
      </c>
      <c r="AJ59" s="13" t="str">
        <f t="shared" si="59"/>
        <v/>
      </c>
      <c r="AK59" s="13" t="str">
        <f t="shared" si="59"/>
        <v/>
      </c>
      <c r="AL59" s="13" t="str">
        <f t="shared" si="59"/>
        <v/>
      </c>
      <c r="AM59" s="13" t="str">
        <f t="shared" si="59"/>
        <v/>
      </c>
      <c r="AN59" s="13" t="str">
        <f t="shared" si="59"/>
        <v/>
      </c>
      <c r="AO59" s="13" t="str">
        <f t="shared" si="59"/>
        <v/>
      </c>
      <c r="AP59" s="13" t="str">
        <f t="shared" si="59"/>
        <v/>
      </c>
      <c r="AQ59" s="13" t="str">
        <f t="shared" si="59"/>
        <v/>
      </c>
      <c r="AR59" s="13" t="str">
        <f t="shared" si="59"/>
        <v/>
      </c>
    </row>
    <row r="60" spans="1:44" ht="14.1" customHeight="1" x14ac:dyDescent="0.25">
      <c r="A60" s="17">
        <v>1054</v>
      </c>
      <c r="B60" s="17" t="s">
        <v>14</v>
      </c>
      <c r="C60" s="17" t="s">
        <v>39</v>
      </c>
      <c r="D60" s="17">
        <v>1</v>
      </c>
      <c r="E60" s="34">
        <f t="shared" si="63"/>
        <v>0.3</v>
      </c>
      <c r="F60" s="35">
        <f t="shared" si="64"/>
        <v>0.3</v>
      </c>
      <c r="G60" s="17">
        <v>0.16</v>
      </c>
      <c r="H60" s="18">
        <v>0.16</v>
      </c>
      <c r="I60" s="22">
        <f t="shared" si="60"/>
        <v>1054</v>
      </c>
      <c r="K60" s="27">
        <f t="shared" si="65"/>
        <v>8</v>
      </c>
      <c r="L60" s="7" t="str">
        <f t="shared" si="66"/>
        <v>A500C</v>
      </c>
      <c r="M60" s="26">
        <f t="shared" si="67"/>
        <v>770</v>
      </c>
      <c r="N60" s="26">
        <f t="shared" si="68"/>
        <v>1</v>
      </c>
      <c r="P60" s="6" t="str">
        <f t="shared" si="69"/>
        <v>8 А500C L = 770</v>
      </c>
      <c r="R60" s="6">
        <f t="shared" si="29"/>
        <v>0.39500000000000002</v>
      </c>
      <c r="T60" s="6">
        <f t="shared" si="70"/>
        <v>0.3</v>
      </c>
      <c r="U60" s="6">
        <f t="shared" si="71"/>
        <v>0.3</v>
      </c>
      <c r="X60" s="13" t="str">
        <f t="shared" si="58"/>
        <v/>
      </c>
      <c r="Y60" s="13">
        <f t="shared" si="58"/>
        <v>0.3</v>
      </c>
      <c r="Z60" s="13" t="str">
        <f t="shared" si="58"/>
        <v/>
      </c>
      <c r="AA60" s="13" t="str">
        <f t="shared" si="58"/>
        <v/>
      </c>
      <c r="AB60" s="13" t="str">
        <f t="shared" si="58"/>
        <v/>
      </c>
      <c r="AC60" s="13" t="str">
        <f t="shared" si="58"/>
        <v/>
      </c>
      <c r="AD60" s="13" t="str">
        <f t="shared" si="58"/>
        <v/>
      </c>
      <c r="AE60" s="13" t="str">
        <f t="shared" si="58"/>
        <v/>
      </c>
      <c r="AF60" s="13" t="str">
        <f t="shared" si="58"/>
        <v/>
      </c>
      <c r="AG60" s="13" t="str">
        <f t="shared" si="58"/>
        <v/>
      </c>
      <c r="AH60" s="14"/>
      <c r="AI60" s="13" t="str">
        <f t="shared" si="59"/>
        <v/>
      </c>
      <c r="AJ60" s="13" t="str">
        <f t="shared" si="59"/>
        <v/>
      </c>
      <c r="AK60" s="13" t="str">
        <f t="shared" si="59"/>
        <v/>
      </c>
      <c r="AL60" s="13" t="str">
        <f t="shared" si="59"/>
        <v/>
      </c>
      <c r="AM60" s="13" t="str">
        <f t="shared" si="59"/>
        <v/>
      </c>
      <c r="AN60" s="13" t="str">
        <f t="shared" si="59"/>
        <v/>
      </c>
      <c r="AO60" s="13" t="str">
        <f t="shared" si="59"/>
        <v/>
      </c>
      <c r="AP60" s="13" t="str">
        <f t="shared" si="59"/>
        <v/>
      </c>
      <c r="AQ60" s="13" t="str">
        <f t="shared" si="59"/>
        <v/>
      </c>
      <c r="AR60" s="13" t="str">
        <f t="shared" si="59"/>
        <v/>
      </c>
    </row>
    <row r="61" spans="1:44" ht="14.1" customHeight="1" x14ac:dyDescent="0.25">
      <c r="A61" s="17">
        <v>1054</v>
      </c>
      <c r="B61" s="17" t="s">
        <v>14</v>
      </c>
      <c r="C61" s="17" t="s">
        <v>39</v>
      </c>
      <c r="D61" s="17">
        <v>1</v>
      </c>
      <c r="E61" s="34">
        <f t="shared" si="63"/>
        <v>0.3</v>
      </c>
      <c r="F61" s="35">
        <f t="shared" si="64"/>
        <v>0.3</v>
      </c>
      <c r="G61" s="17">
        <v>0.16</v>
      </c>
      <c r="H61" s="18">
        <v>0.16</v>
      </c>
      <c r="I61" s="22">
        <f t="shared" si="60"/>
        <v>1054</v>
      </c>
      <c r="K61" s="27">
        <f t="shared" si="65"/>
        <v>8</v>
      </c>
      <c r="L61" s="7" t="str">
        <f t="shared" si="66"/>
        <v>A500C</v>
      </c>
      <c r="M61" s="26">
        <f t="shared" si="67"/>
        <v>770</v>
      </c>
      <c r="N61" s="26">
        <f t="shared" si="68"/>
        <v>1</v>
      </c>
      <c r="P61" s="6" t="str">
        <f t="shared" si="69"/>
        <v>8 А500C L = 770</v>
      </c>
      <c r="R61" s="6">
        <f t="shared" si="29"/>
        <v>0.39500000000000002</v>
      </c>
      <c r="T61" s="6">
        <f t="shared" si="70"/>
        <v>0.3</v>
      </c>
      <c r="U61" s="6">
        <f t="shared" si="71"/>
        <v>0.3</v>
      </c>
      <c r="X61" s="13" t="str">
        <f t="shared" si="58"/>
        <v/>
      </c>
      <c r="Y61" s="13">
        <f t="shared" si="58"/>
        <v>0.3</v>
      </c>
      <c r="Z61" s="13" t="str">
        <f t="shared" si="58"/>
        <v/>
      </c>
      <c r="AA61" s="13" t="str">
        <f t="shared" si="58"/>
        <v/>
      </c>
      <c r="AB61" s="13" t="str">
        <f t="shared" si="58"/>
        <v/>
      </c>
      <c r="AC61" s="13" t="str">
        <f t="shared" si="58"/>
        <v/>
      </c>
      <c r="AD61" s="13" t="str">
        <f t="shared" si="58"/>
        <v/>
      </c>
      <c r="AE61" s="13" t="str">
        <f t="shared" si="58"/>
        <v/>
      </c>
      <c r="AF61" s="13" t="str">
        <f t="shared" si="58"/>
        <v/>
      </c>
      <c r="AG61" s="13" t="str">
        <f t="shared" si="58"/>
        <v/>
      </c>
      <c r="AH61" s="14"/>
      <c r="AI61" s="13" t="str">
        <f t="shared" si="59"/>
        <v/>
      </c>
      <c r="AJ61" s="13" t="str">
        <f t="shared" si="59"/>
        <v/>
      </c>
      <c r="AK61" s="13" t="str">
        <f t="shared" si="59"/>
        <v/>
      </c>
      <c r="AL61" s="13" t="str">
        <f t="shared" si="59"/>
        <v/>
      </c>
      <c r="AM61" s="13" t="str">
        <f t="shared" si="59"/>
        <v/>
      </c>
      <c r="AN61" s="13" t="str">
        <f t="shared" si="59"/>
        <v/>
      </c>
      <c r="AO61" s="13" t="str">
        <f t="shared" si="59"/>
        <v/>
      </c>
      <c r="AP61" s="13" t="str">
        <f t="shared" si="59"/>
        <v/>
      </c>
      <c r="AQ61" s="13" t="str">
        <f t="shared" si="59"/>
        <v/>
      </c>
      <c r="AR61" s="13" t="str">
        <f t="shared" si="59"/>
        <v/>
      </c>
    </row>
    <row r="62" spans="1:44" ht="14.1" customHeight="1" x14ac:dyDescent="0.25">
      <c r="A62" s="17">
        <v>1054</v>
      </c>
      <c r="B62" s="17" t="s">
        <v>14</v>
      </c>
      <c r="C62" s="17" t="s">
        <v>39</v>
      </c>
      <c r="D62" s="17">
        <v>1</v>
      </c>
      <c r="E62" s="34">
        <f t="shared" si="63"/>
        <v>0.3</v>
      </c>
      <c r="F62" s="35">
        <f t="shared" si="64"/>
        <v>0.3</v>
      </c>
      <c r="G62" s="17">
        <v>0.16</v>
      </c>
      <c r="H62" s="18">
        <v>0.16</v>
      </c>
      <c r="I62" s="22">
        <f t="shared" si="60"/>
        <v>1054</v>
      </c>
      <c r="K62" s="27">
        <f t="shared" si="65"/>
        <v>8</v>
      </c>
      <c r="L62" s="7" t="str">
        <f t="shared" si="66"/>
        <v>A500C</v>
      </c>
      <c r="M62" s="26">
        <f t="shared" si="67"/>
        <v>770</v>
      </c>
      <c r="N62" s="26">
        <f t="shared" si="68"/>
        <v>1</v>
      </c>
      <c r="P62" s="6" t="str">
        <f t="shared" si="69"/>
        <v>8 А500C L = 770</v>
      </c>
      <c r="R62" s="6">
        <f t="shared" si="29"/>
        <v>0.39500000000000002</v>
      </c>
      <c r="T62" s="6">
        <f t="shared" si="70"/>
        <v>0.3</v>
      </c>
      <c r="U62" s="6">
        <f t="shared" si="71"/>
        <v>0.3</v>
      </c>
      <c r="X62" s="13" t="str">
        <f t="shared" si="58"/>
        <v/>
      </c>
      <c r="Y62" s="13">
        <f t="shared" si="58"/>
        <v>0.3</v>
      </c>
      <c r="Z62" s="13" t="str">
        <f t="shared" si="58"/>
        <v/>
      </c>
      <c r="AA62" s="13" t="str">
        <f t="shared" si="58"/>
        <v/>
      </c>
      <c r="AB62" s="13" t="str">
        <f t="shared" si="58"/>
        <v/>
      </c>
      <c r="AC62" s="13" t="str">
        <f t="shared" si="58"/>
        <v/>
      </c>
      <c r="AD62" s="13" t="str">
        <f t="shared" si="58"/>
        <v/>
      </c>
      <c r="AE62" s="13" t="str">
        <f t="shared" si="58"/>
        <v/>
      </c>
      <c r="AF62" s="13" t="str">
        <f t="shared" si="58"/>
        <v/>
      </c>
      <c r="AG62" s="13" t="str">
        <f t="shared" si="58"/>
        <v/>
      </c>
      <c r="AH62" s="14"/>
      <c r="AI62" s="13" t="str">
        <f t="shared" si="59"/>
        <v/>
      </c>
      <c r="AJ62" s="13" t="str">
        <f t="shared" si="59"/>
        <v/>
      </c>
      <c r="AK62" s="13" t="str">
        <f t="shared" si="59"/>
        <v/>
      </c>
      <c r="AL62" s="13" t="str">
        <f t="shared" si="59"/>
        <v/>
      </c>
      <c r="AM62" s="13" t="str">
        <f t="shared" si="59"/>
        <v/>
      </c>
      <c r="AN62" s="13" t="str">
        <f t="shared" si="59"/>
        <v/>
      </c>
      <c r="AO62" s="13" t="str">
        <f t="shared" si="59"/>
        <v/>
      </c>
      <c r="AP62" s="13" t="str">
        <f t="shared" si="59"/>
        <v/>
      </c>
      <c r="AQ62" s="13" t="str">
        <f t="shared" si="59"/>
        <v/>
      </c>
      <c r="AR62" s="13" t="str">
        <f t="shared" si="59"/>
        <v/>
      </c>
    </row>
    <row r="63" spans="1:44" ht="14.1" customHeight="1" x14ac:dyDescent="0.25">
      <c r="A63" s="17">
        <v>1054</v>
      </c>
      <c r="B63" s="17" t="s">
        <v>14</v>
      </c>
      <c r="C63" s="17" t="s">
        <v>39</v>
      </c>
      <c r="D63" s="17">
        <v>1</v>
      </c>
      <c r="E63" s="34">
        <f t="shared" si="63"/>
        <v>0.3</v>
      </c>
      <c r="F63" s="35">
        <f t="shared" si="64"/>
        <v>0.3</v>
      </c>
      <c r="G63" s="17">
        <v>0.16</v>
      </c>
      <c r="H63" s="18">
        <v>0.16</v>
      </c>
      <c r="I63" s="22">
        <f t="shared" si="60"/>
        <v>1054</v>
      </c>
      <c r="K63" s="27">
        <f t="shared" si="65"/>
        <v>8</v>
      </c>
      <c r="L63" s="7" t="str">
        <f t="shared" si="66"/>
        <v>A500C</v>
      </c>
      <c r="M63" s="26">
        <f t="shared" si="67"/>
        <v>770</v>
      </c>
      <c r="N63" s="26">
        <f t="shared" si="68"/>
        <v>1</v>
      </c>
      <c r="P63" s="6" t="str">
        <f t="shared" si="69"/>
        <v>8 А500C L = 770</v>
      </c>
      <c r="R63" s="6">
        <f t="shared" si="29"/>
        <v>0.39500000000000002</v>
      </c>
      <c r="T63" s="6">
        <f t="shared" si="70"/>
        <v>0.3</v>
      </c>
      <c r="U63" s="6">
        <f t="shared" si="71"/>
        <v>0.3</v>
      </c>
      <c r="X63" s="13" t="str">
        <f t="shared" ref="X63:AG78" si="72">IF(AND($K63=X$2,$L63=X$1),$F63,"")</f>
        <v/>
      </c>
      <c r="Y63" s="13">
        <f t="shared" si="72"/>
        <v>0.3</v>
      </c>
      <c r="Z63" s="13" t="str">
        <f t="shared" si="72"/>
        <v/>
      </c>
      <c r="AA63" s="13" t="str">
        <f t="shared" si="72"/>
        <v/>
      </c>
      <c r="AB63" s="13" t="str">
        <f t="shared" si="72"/>
        <v/>
      </c>
      <c r="AC63" s="13" t="str">
        <f t="shared" si="72"/>
        <v/>
      </c>
      <c r="AD63" s="13" t="str">
        <f t="shared" si="72"/>
        <v/>
      </c>
      <c r="AE63" s="13" t="str">
        <f t="shared" si="72"/>
        <v/>
      </c>
      <c r="AF63" s="13" t="str">
        <f t="shared" si="72"/>
        <v/>
      </c>
      <c r="AG63" s="13" t="str">
        <f t="shared" si="72"/>
        <v/>
      </c>
      <c r="AH63" s="14"/>
      <c r="AI63" s="13" t="str">
        <f t="shared" ref="AI63:AR78" si="73">IF(AND($K63=AI$2,$L63=AI$1),$F63,"")</f>
        <v/>
      </c>
      <c r="AJ63" s="13" t="str">
        <f t="shared" si="73"/>
        <v/>
      </c>
      <c r="AK63" s="13" t="str">
        <f t="shared" si="73"/>
        <v/>
      </c>
      <c r="AL63" s="13" t="str">
        <f t="shared" si="73"/>
        <v/>
      </c>
      <c r="AM63" s="13" t="str">
        <f t="shared" si="73"/>
        <v/>
      </c>
      <c r="AN63" s="13" t="str">
        <f t="shared" si="73"/>
        <v/>
      </c>
      <c r="AO63" s="13" t="str">
        <f t="shared" si="73"/>
        <v/>
      </c>
      <c r="AP63" s="13" t="str">
        <f t="shared" si="73"/>
        <v/>
      </c>
      <c r="AQ63" s="13" t="str">
        <f t="shared" si="73"/>
        <v/>
      </c>
      <c r="AR63" s="13" t="str">
        <f t="shared" si="73"/>
        <v/>
      </c>
    </row>
    <row r="64" spans="1:44" ht="14.1" customHeight="1" x14ac:dyDescent="0.25">
      <c r="A64" s="17">
        <v>1054</v>
      </c>
      <c r="B64" s="17" t="s">
        <v>14</v>
      </c>
      <c r="C64" s="17" t="s">
        <v>39</v>
      </c>
      <c r="D64" s="17">
        <v>1</v>
      </c>
      <c r="E64" s="34">
        <f t="shared" si="63"/>
        <v>0.3</v>
      </c>
      <c r="F64" s="35">
        <f t="shared" si="64"/>
        <v>0.3</v>
      </c>
      <c r="G64" s="17">
        <v>0.16</v>
      </c>
      <c r="H64" s="18">
        <v>0.16</v>
      </c>
      <c r="I64" s="22">
        <f t="shared" si="60"/>
        <v>1054</v>
      </c>
      <c r="K64" s="27">
        <f t="shared" si="65"/>
        <v>8</v>
      </c>
      <c r="L64" s="7" t="str">
        <f t="shared" si="66"/>
        <v>A500C</v>
      </c>
      <c r="M64" s="26">
        <f t="shared" si="67"/>
        <v>770</v>
      </c>
      <c r="N64" s="26">
        <f t="shared" si="68"/>
        <v>1</v>
      </c>
      <c r="P64" s="6" t="str">
        <f t="shared" si="69"/>
        <v>8 А500C L = 770</v>
      </c>
      <c r="R64" s="6">
        <f t="shared" si="29"/>
        <v>0.39500000000000002</v>
      </c>
      <c r="T64" s="6">
        <f t="shared" si="70"/>
        <v>0.3</v>
      </c>
      <c r="U64" s="6">
        <f t="shared" si="71"/>
        <v>0.3</v>
      </c>
      <c r="X64" s="13" t="str">
        <f t="shared" si="72"/>
        <v/>
      </c>
      <c r="Y64" s="13">
        <f t="shared" si="72"/>
        <v>0.3</v>
      </c>
      <c r="Z64" s="13" t="str">
        <f t="shared" si="72"/>
        <v/>
      </c>
      <c r="AA64" s="13" t="str">
        <f t="shared" si="72"/>
        <v/>
      </c>
      <c r="AB64" s="13" t="str">
        <f t="shared" si="72"/>
        <v/>
      </c>
      <c r="AC64" s="13" t="str">
        <f t="shared" si="72"/>
        <v/>
      </c>
      <c r="AD64" s="13" t="str">
        <f t="shared" si="72"/>
        <v/>
      </c>
      <c r="AE64" s="13" t="str">
        <f t="shared" si="72"/>
        <v/>
      </c>
      <c r="AF64" s="13" t="str">
        <f t="shared" si="72"/>
        <v/>
      </c>
      <c r="AG64" s="13" t="str">
        <f t="shared" si="72"/>
        <v/>
      </c>
      <c r="AH64" s="14"/>
      <c r="AI64" s="13" t="str">
        <f t="shared" si="73"/>
        <v/>
      </c>
      <c r="AJ64" s="13" t="str">
        <f t="shared" si="73"/>
        <v/>
      </c>
      <c r="AK64" s="13" t="str">
        <f t="shared" si="73"/>
        <v/>
      </c>
      <c r="AL64" s="13" t="str">
        <f t="shared" si="73"/>
        <v/>
      </c>
      <c r="AM64" s="13" t="str">
        <f t="shared" si="73"/>
        <v/>
      </c>
      <c r="AN64" s="13" t="str">
        <f t="shared" si="73"/>
        <v/>
      </c>
      <c r="AO64" s="13" t="str">
        <f t="shared" si="73"/>
        <v/>
      </c>
      <c r="AP64" s="13" t="str">
        <f t="shared" si="73"/>
        <v/>
      </c>
      <c r="AQ64" s="13" t="str">
        <f t="shared" si="73"/>
        <v/>
      </c>
      <c r="AR64" s="13" t="str">
        <f t="shared" si="73"/>
        <v/>
      </c>
    </row>
    <row r="65" spans="1:44" ht="14.1" customHeight="1" x14ac:dyDescent="0.25">
      <c r="A65" s="17">
        <v>1054</v>
      </c>
      <c r="B65" s="17" t="s">
        <v>14</v>
      </c>
      <c r="C65" s="17" t="s">
        <v>39</v>
      </c>
      <c r="D65" s="17">
        <v>1</v>
      </c>
      <c r="E65" s="34">
        <f t="shared" si="63"/>
        <v>0.3</v>
      </c>
      <c r="F65" s="35">
        <f t="shared" si="64"/>
        <v>0.3</v>
      </c>
      <c r="G65" s="17">
        <v>0.16</v>
      </c>
      <c r="H65" s="18">
        <v>0.16</v>
      </c>
      <c r="I65" s="22">
        <f t="shared" si="60"/>
        <v>1054</v>
      </c>
      <c r="K65" s="27">
        <f t="shared" si="65"/>
        <v>8</v>
      </c>
      <c r="L65" s="7" t="str">
        <f t="shared" si="66"/>
        <v>A500C</v>
      </c>
      <c r="M65" s="26">
        <f t="shared" si="67"/>
        <v>770</v>
      </c>
      <c r="N65" s="26">
        <f t="shared" si="68"/>
        <v>1</v>
      </c>
      <c r="P65" s="6" t="str">
        <f t="shared" si="69"/>
        <v>8 А500C L = 770</v>
      </c>
      <c r="R65" s="6">
        <f t="shared" si="29"/>
        <v>0.39500000000000002</v>
      </c>
      <c r="T65" s="6">
        <f t="shared" si="70"/>
        <v>0.3</v>
      </c>
      <c r="U65" s="6">
        <f t="shared" si="71"/>
        <v>0.3</v>
      </c>
      <c r="X65" s="13" t="str">
        <f t="shared" si="72"/>
        <v/>
      </c>
      <c r="Y65" s="13">
        <f t="shared" si="72"/>
        <v>0.3</v>
      </c>
      <c r="Z65" s="13" t="str">
        <f t="shared" si="72"/>
        <v/>
      </c>
      <c r="AA65" s="13" t="str">
        <f t="shared" si="72"/>
        <v/>
      </c>
      <c r="AB65" s="13" t="str">
        <f t="shared" si="72"/>
        <v/>
      </c>
      <c r="AC65" s="13" t="str">
        <f t="shared" si="72"/>
        <v/>
      </c>
      <c r="AD65" s="13" t="str">
        <f t="shared" si="72"/>
        <v/>
      </c>
      <c r="AE65" s="13" t="str">
        <f t="shared" si="72"/>
        <v/>
      </c>
      <c r="AF65" s="13" t="str">
        <f t="shared" si="72"/>
        <v/>
      </c>
      <c r="AG65" s="13" t="str">
        <f t="shared" si="72"/>
        <v/>
      </c>
      <c r="AH65" s="14"/>
      <c r="AI65" s="13" t="str">
        <f t="shared" si="73"/>
        <v/>
      </c>
      <c r="AJ65" s="13" t="str">
        <f t="shared" si="73"/>
        <v/>
      </c>
      <c r="AK65" s="13" t="str">
        <f t="shared" si="73"/>
        <v/>
      </c>
      <c r="AL65" s="13" t="str">
        <f t="shared" si="73"/>
        <v/>
      </c>
      <c r="AM65" s="13" t="str">
        <f t="shared" si="73"/>
        <v/>
      </c>
      <c r="AN65" s="13" t="str">
        <f t="shared" si="73"/>
        <v/>
      </c>
      <c r="AO65" s="13" t="str">
        <f t="shared" si="73"/>
        <v/>
      </c>
      <c r="AP65" s="13" t="str">
        <f t="shared" si="73"/>
        <v/>
      </c>
      <c r="AQ65" s="13" t="str">
        <f t="shared" si="73"/>
        <v/>
      </c>
      <c r="AR65" s="13" t="str">
        <f t="shared" si="73"/>
        <v/>
      </c>
    </row>
    <row r="66" spans="1:44" ht="14.1" customHeight="1" x14ac:dyDescent="0.25">
      <c r="A66" s="17">
        <v>1054</v>
      </c>
      <c r="B66" s="17" t="s">
        <v>14</v>
      </c>
      <c r="C66" s="17" t="s">
        <v>39</v>
      </c>
      <c r="D66" s="17">
        <v>1</v>
      </c>
      <c r="E66" s="34">
        <f t="shared" si="63"/>
        <v>0.3</v>
      </c>
      <c r="F66" s="35">
        <f t="shared" si="64"/>
        <v>0.3</v>
      </c>
      <c r="G66" s="17">
        <v>0.16</v>
      </c>
      <c r="H66" s="18">
        <v>0.16</v>
      </c>
      <c r="I66" s="22">
        <f t="shared" si="60"/>
        <v>1054</v>
      </c>
      <c r="K66" s="27">
        <f t="shared" si="65"/>
        <v>8</v>
      </c>
      <c r="L66" s="7" t="str">
        <f t="shared" si="66"/>
        <v>A500C</v>
      </c>
      <c r="M66" s="26">
        <f t="shared" si="67"/>
        <v>770</v>
      </c>
      <c r="N66" s="26">
        <f t="shared" si="68"/>
        <v>1</v>
      </c>
      <c r="P66" s="6" t="str">
        <f t="shared" si="69"/>
        <v>8 А500C L = 770</v>
      </c>
      <c r="R66" s="6">
        <f t="shared" si="29"/>
        <v>0.39500000000000002</v>
      </c>
      <c r="T66" s="6">
        <f t="shared" si="70"/>
        <v>0.3</v>
      </c>
      <c r="U66" s="6">
        <f t="shared" si="71"/>
        <v>0.3</v>
      </c>
      <c r="X66" s="13" t="str">
        <f t="shared" si="72"/>
        <v/>
      </c>
      <c r="Y66" s="13">
        <f t="shared" si="72"/>
        <v>0.3</v>
      </c>
      <c r="Z66" s="13" t="str">
        <f t="shared" si="72"/>
        <v/>
      </c>
      <c r="AA66" s="13" t="str">
        <f t="shared" si="72"/>
        <v/>
      </c>
      <c r="AB66" s="13" t="str">
        <f t="shared" si="72"/>
        <v/>
      </c>
      <c r="AC66" s="13" t="str">
        <f t="shared" si="72"/>
        <v/>
      </c>
      <c r="AD66" s="13" t="str">
        <f t="shared" si="72"/>
        <v/>
      </c>
      <c r="AE66" s="13" t="str">
        <f t="shared" si="72"/>
        <v/>
      </c>
      <c r="AF66" s="13" t="str">
        <f t="shared" si="72"/>
        <v/>
      </c>
      <c r="AG66" s="13" t="str">
        <f t="shared" si="72"/>
        <v/>
      </c>
      <c r="AH66" s="14"/>
      <c r="AI66" s="13" t="str">
        <f t="shared" si="73"/>
        <v/>
      </c>
      <c r="AJ66" s="13" t="str">
        <f t="shared" si="73"/>
        <v/>
      </c>
      <c r="AK66" s="13" t="str">
        <f t="shared" si="73"/>
        <v/>
      </c>
      <c r="AL66" s="13" t="str">
        <f t="shared" si="73"/>
        <v/>
      </c>
      <c r="AM66" s="13" t="str">
        <f t="shared" si="73"/>
        <v/>
      </c>
      <c r="AN66" s="13" t="str">
        <f t="shared" si="73"/>
        <v/>
      </c>
      <c r="AO66" s="13" t="str">
        <f t="shared" si="73"/>
        <v/>
      </c>
      <c r="AP66" s="13" t="str">
        <f t="shared" si="73"/>
        <v/>
      </c>
      <c r="AQ66" s="13" t="str">
        <f t="shared" si="73"/>
        <v/>
      </c>
      <c r="AR66" s="13" t="str">
        <f t="shared" si="73"/>
        <v/>
      </c>
    </row>
    <row r="67" spans="1:44" ht="14.1" customHeight="1" x14ac:dyDescent="0.25">
      <c r="A67" s="30"/>
      <c r="B67" s="30"/>
      <c r="C67" s="33" t="s">
        <v>15</v>
      </c>
      <c r="D67" s="30"/>
      <c r="E67" s="30"/>
      <c r="F67" s="32"/>
      <c r="G67" s="15"/>
      <c r="H67" s="16"/>
      <c r="I67" s="22">
        <f t="shared" si="5"/>
        <v>0</v>
      </c>
      <c r="K67" s="27"/>
      <c r="L67" s="7"/>
      <c r="M67" s="26"/>
      <c r="N67" s="26"/>
      <c r="P67" s="6"/>
      <c r="R67" s="6">
        <f t="shared" si="29"/>
        <v>0</v>
      </c>
      <c r="T67" s="6"/>
      <c r="U67" s="6"/>
      <c r="X67" s="13" t="str">
        <f t="shared" ref="X67:AG67" si="74">IF(AND($K67=X$2,$L67=X$1),$F67,"")</f>
        <v/>
      </c>
      <c r="Y67" s="13" t="str">
        <f t="shared" si="74"/>
        <v/>
      </c>
      <c r="Z67" s="13" t="str">
        <f t="shared" si="74"/>
        <v/>
      </c>
      <c r="AA67" s="13" t="str">
        <f t="shared" si="74"/>
        <v/>
      </c>
      <c r="AB67" s="13" t="str">
        <f t="shared" si="74"/>
        <v/>
      </c>
      <c r="AC67" s="13" t="str">
        <f t="shared" si="74"/>
        <v/>
      </c>
      <c r="AD67" s="13" t="str">
        <f t="shared" si="74"/>
        <v/>
      </c>
      <c r="AE67" s="13" t="str">
        <f t="shared" si="74"/>
        <v/>
      </c>
      <c r="AF67" s="13" t="str">
        <f t="shared" si="74"/>
        <v/>
      </c>
      <c r="AG67" s="13" t="str">
        <f t="shared" si="74"/>
        <v/>
      </c>
      <c r="AH67" s="14"/>
      <c r="AI67" s="13" t="str">
        <f t="shared" ref="AI67:AR67" si="75">IF(AND($K67=AI$2,$L67=AI$1),$F67,"")</f>
        <v/>
      </c>
      <c r="AJ67" s="13" t="str">
        <f t="shared" si="75"/>
        <v/>
      </c>
      <c r="AK67" s="13" t="str">
        <f t="shared" si="75"/>
        <v/>
      </c>
      <c r="AL67" s="13" t="str">
        <f t="shared" si="75"/>
        <v/>
      </c>
      <c r="AM67" s="13" t="str">
        <f t="shared" si="75"/>
        <v/>
      </c>
      <c r="AN67" s="13" t="str">
        <f t="shared" si="75"/>
        <v/>
      </c>
      <c r="AO67" s="13" t="str">
        <f t="shared" si="75"/>
        <v/>
      </c>
      <c r="AP67" s="13" t="str">
        <f t="shared" si="75"/>
        <v/>
      </c>
      <c r="AQ67" s="13" t="str">
        <f t="shared" si="75"/>
        <v/>
      </c>
      <c r="AR67" s="13" t="str">
        <f t="shared" si="75"/>
        <v/>
      </c>
    </row>
    <row r="68" spans="1:44" ht="14.1" customHeight="1" x14ac:dyDescent="0.25">
      <c r="A68" s="17">
        <v>1054</v>
      </c>
      <c r="B68" s="17" t="s">
        <v>14</v>
      </c>
      <c r="C68" s="17" t="s">
        <v>39</v>
      </c>
      <c r="D68" s="17">
        <v>1</v>
      </c>
      <c r="E68" s="34">
        <f t="shared" ref="E68:E101" si="76">T68</f>
        <v>0.3</v>
      </c>
      <c r="F68" s="35">
        <f t="shared" ref="F68:F101" si="77">U68</f>
        <v>0.3</v>
      </c>
      <c r="G68" s="17">
        <v>0.16</v>
      </c>
      <c r="H68" s="18">
        <v>0.16</v>
      </c>
      <c r="I68" s="22">
        <f t="shared" si="5"/>
        <v>1054</v>
      </c>
      <c r="K68" s="27">
        <f t="shared" ref="K68:K101" si="78">IF(C68&lt;&gt;"",VALUE(LEFT(C68,2)),)</f>
        <v>8</v>
      </c>
      <c r="L68" s="7" t="str">
        <f t="shared" ref="L68:L101" si="79">IF(C68&lt;&gt;"",MID(C68,FIND(" ",C68)+1,FIND(" ",C68,FIND(" ",C68)+1)-FIND(" ",C68)-1),"")</f>
        <v>A500C</v>
      </c>
      <c r="M68" s="26">
        <f t="shared" ref="M68:M101" si="80">IF(C68&lt;&gt;"",VALUE(RIGHT(C68,4)),)</f>
        <v>770</v>
      </c>
      <c r="N68" s="26">
        <f t="shared" ref="N68:N101" si="81">D68</f>
        <v>1</v>
      </c>
      <c r="P68" s="6" t="str">
        <f t="shared" ref="P68:P101" si="82">K68&amp;" А500C L = "&amp;M68</f>
        <v>8 А500C L = 770</v>
      </c>
      <c r="R68" s="6">
        <f t="shared" ref="R68:R101" si="83">IF(K68=6,0.222,IF(K68=8,0.395,IF(K68=10,0.617,IF(K68=12,0.888,IF(K68=14,1.208,IF(K68=16,1.578,IF(K68=18,1.998,IF(K68=20,2.466,IF(K68=22,2.984,IF(K68=25,3.853,IF(K68=28,4.83,IF(K68=32,6.31,0))))))))))))</f>
        <v>0.39500000000000002</v>
      </c>
      <c r="T68" s="6">
        <f t="shared" ref="T68:T101" si="84">ROUND(M68/1000*R68,2)</f>
        <v>0.3</v>
      </c>
      <c r="U68" s="6">
        <f t="shared" ref="U68:U101" si="85">T68*N68</f>
        <v>0.3</v>
      </c>
      <c r="X68" s="13" t="str">
        <f t="shared" si="72"/>
        <v/>
      </c>
      <c r="Y68" s="13">
        <f t="shared" si="72"/>
        <v>0.3</v>
      </c>
      <c r="Z68" s="13" t="str">
        <f t="shared" si="72"/>
        <v/>
      </c>
      <c r="AA68" s="13" t="str">
        <f t="shared" si="72"/>
        <v/>
      </c>
      <c r="AB68" s="13" t="str">
        <f t="shared" si="72"/>
        <v/>
      </c>
      <c r="AC68" s="13" t="str">
        <f t="shared" si="72"/>
        <v/>
      </c>
      <c r="AD68" s="13" t="str">
        <f t="shared" si="72"/>
        <v/>
      </c>
      <c r="AE68" s="13" t="str">
        <f t="shared" si="72"/>
        <v/>
      </c>
      <c r="AF68" s="13" t="str">
        <f t="shared" si="72"/>
        <v/>
      </c>
      <c r="AG68" s="13" t="str">
        <f t="shared" si="72"/>
        <v/>
      </c>
      <c r="AH68" s="14"/>
      <c r="AI68" s="13" t="str">
        <f t="shared" si="73"/>
        <v/>
      </c>
      <c r="AJ68" s="13" t="str">
        <f t="shared" si="73"/>
        <v/>
      </c>
      <c r="AK68" s="13" t="str">
        <f t="shared" si="73"/>
        <v/>
      </c>
      <c r="AL68" s="13" t="str">
        <f t="shared" si="73"/>
        <v/>
      </c>
      <c r="AM68" s="13" t="str">
        <f t="shared" si="73"/>
        <v/>
      </c>
      <c r="AN68" s="13" t="str">
        <f t="shared" si="73"/>
        <v/>
      </c>
      <c r="AO68" s="13" t="str">
        <f t="shared" si="73"/>
        <v/>
      </c>
      <c r="AP68" s="13" t="str">
        <f t="shared" si="73"/>
        <v/>
      </c>
      <c r="AQ68" s="13" t="str">
        <f t="shared" si="73"/>
        <v/>
      </c>
      <c r="AR68" s="13" t="str">
        <f t="shared" si="73"/>
        <v/>
      </c>
    </row>
    <row r="69" spans="1:44" ht="14.1" customHeight="1" x14ac:dyDescent="0.25">
      <c r="A69" s="17">
        <v>1054</v>
      </c>
      <c r="B69" s="17" t="s">
        <v>14</v>
      </c>
      <c r="C69" s="17" t="s">
        <v>39</v>
      </c>
      <c r="D69" s="17">
        <v>1</v>
      </c>
      <c r="E69" s="34">
        <f t="shared" si="76"/>
        <v>0.3</v>
      </c>
      <c r="F69" s="35">
        <f t="shared" si="77"/>
        <v>0.3</v>
      </c>
      <c r="G69" s="17">
        <v>0.16</v>
      </c>
      <c r="H69" s="18">
        <v>0.16</v>
      </c>
      <c r="I69" s="22">
        <f t="shared" si="5"/>
        <v>1054</v>
      </c>
      <c r="K69" s="27">
        <f t="shared" si="78"/>
        <v>8</v>
      </c>
      <c r="L69" s="7" t="str">
        <f t="shared" si="79"/>
        <v>A500C</v>
      </c>
      <c r="M69" s="26">
        <f t="shared" si="80"/>
        <v>770</v>
      </c>
      <c r="N69" s="26">
        <f t="shared" si="81"/>
        <v>1</v>
      </c>
      <c r="P69" s="6" t="str">
        <f t="shared" si="82"/>
        <v>8 А500C L = 770</v>
      </c>
      <c r="R69" s="6">
        <f t="shared" si="83"/>
        <v>0.39500000000000002</v>
      </c>
      <c r="T69" s="6">
        <f t="shared" si="84"/>
        <v>0.3</v>
      </c>
      <c r="U69" s="6">
        <f t="shared" si="85"/>
        <v>0.3</v>
      </c>
      <c r="X69" s="13" t="str">
        <f t="shared" si="72"/>
        <v/>
      </c>
      <c r="Y69" s="13">
        <f t="shared" si="72"/>
        <v>0.3</v>
      </c>
      <c r="Z69" s="13" t="str">
        <f t="shared" si="72"/>
        <v/>
      </c>
      <c r="AA69" s="13" t="str">
        <f t="shared" si="72"/>
        <v/>
      </c>
      <c r="AB69" s="13" t="str">
        <f t="shared" si="72"/>
        <v/>
      </c>
      <c r="AC69" s="13" t="str">
        <f t="shared" si="72"/>
        <v/>
      </c>
      <c r="AD69" s="13" t="str">
        <f t="shared" si="72"/>
        <v/>
      </c>
      <c r="AE69" s="13" t="str">
        <f t="shared" si="72"/>
        <v/>
      </c>
      <c r="AF69" s="13" t="str">
        <f t="shared" si="72"/>
        <v/>
      </c>
      <c r="AG69" s="13" t="str">
        <f t="shared" si="72"/>
        <v/>
      </c>
      <c r="AH69" s="14"/>
      <c r="AI69" s="13" t="str">
        <f t="shared" si="73"/>
        <v/>
      </c>
      <c r="AJ69" s="13" t="str">
        <f t="shared" si="73"/>
        <v/>
      </c>
      <c r="AK69" s="13" t="str">
        <f t="shared" si="73"/>
        <v/>
      </c>
      <c r="AL69" s="13" t="str">
        <f t="shared" si="73"/>
        <v/>
      </c>
      <c r="AM69" s="13" t="str">
        <f t="shared" si="73"/>
        <v/>
      </c>
      <c r="AN69" s="13" t="str">
        <f t="shared" si="73"/>
        <v/>
      </c>
      <c r="AO69" s="13" t="str">
        <f t="shared" si="73"/>
        <v/>
      </c>
      <c r="AP69" s="13" t="str">
        <f t="shared" si="73"/>
        <v/>
      </c>
      <c r="AQ69" s="13" t="str">
        <f t="shared" si="73"/>
        <v/>
      </c>
      <c r="AR69" s="13" t="str">
        <f t="shared" si="73"/>
        <v/>
      </c>
    </row>
    <row r="70" spans="1:44" ht="14.1" customHeight="1" x14ac:dyDescent="0.25">
      <c r="A70" s="17">
        <v>1054</v>
      </c>
      <c r="B70" s="17" t="s">
        <v>14</v>
      </c>
      <c r="C70" s="17" t="s">
        <v>39</v>
      </c>
      <c r="D70" s="17">
        <v>1</v>
      </c>
      <c r="E70" s="34">
        <f t="shared" si="76"/>
        <v>0.3</v>
      </c>
      <c r="F70" s="35">
        <f t="shared" si="77"/>
        <v>0.3</v>
      </c>
      <c r="G70" s="17">
        <v>0.16</v>
      </c>
      <c r="H70" s="18">
        <v>0.16</v>
      </c>
      <c r="I70" s="22">
        <f t="shared" si="5"/>
        <v>1054</v>
      </c>
      <c r="K70" s="27">
        <f t="shared" si="78"/>
        <v>8</v>
      </c>
      <c r="L70" s="7" t="str">
        <f t="shared" si="79"/>
        <v>A500C</v>
      </c>
      <c r="M70" s="26">
        <f t="shared" si="80"/>
        <v>770</v>
      </c>
      <c r="N70" s="26">
        <f t="shared" si="81"/>
        <v>1</v>
      </c>
      <c r="P70" s="6" t="str">
        <f t="shared" si="82"/>
        <v>8 А500C L = 770</v>
      </c>
      <c r="R70" s="6">
        <f t="shared" si="83"/>
        <v>0.39500000000000002</v>
      </c>
      <c r="T70" s="6">
        <f t="shared" si="84"/>
        <v>0.3</v>
      </c>
      <c r="U70" s="6">
        <f t="shared" si="85"/>
        <v>0.3</v>
      </c>
      <c r="X70" s="13" t="str">
        <f t="shared" si="72"/>
        <v/>
      </c>
      <c r="Y70" s="13">
        <f t="shared" si="72"/>
        <v>0.3</v>
      </c>
      <c r="Z70" s="13" t="str">
        <f t="shared" si="72"/>
        <v/>
      </c>
      <c r="AA70" s="13" t="str">
        <f t="shared" si="72"/>
        <v/>
      </c>
      <c r="AB70" s="13" t="str">
        <f t="shared" si="72"/>
        <v/>
      </c>
      <c r="AC70" s="13" t="str">
        <f t="shared" si="72"/>
        <v/>
      </c>
      <c r="AD70" s="13" t="str">
        <f t="shared" si="72"/>
        <v/>
      </c>
      <c r="AE70" s="13" t="str">
        <f t="shared" si="72"/>
        <v/>
      </c>
      <c r="AF70" s="13" t="str">
        <f t="shared" si="72"/>
        <v/>
      </c>
      <c r="AG70" s="13" t="str">
        <f t="shared" si="72"/>
        <v/>
      </c>
      <c r="AH70" s="14"/>
      <c r="AI70" s="13" t="str">
        <f t="shared" si="73"/>
        <v/>
      </c>
      <c r="AJ70" s="13" t="str">
        <f t="shared" si="73"/>
        <v/>
      </c>
      <c r="AK70" s="13" t="str">
        <f t="shared" si="73"/>
        <v/>
      </c>
      <c r="AL70" s="13" t="str">
        <f t="shared" si="73"/>
        <v/>
      </c>
      <c r="AM70" s="13" t="str">
        <f t="shared" si="73"/>
        <v/>
      </c>
      <c r="AN70" s="13" t="str">
        <f t="shared" si="73"/>
        <v/>
      </c>
      <c r="AO70" s="13" t="str">
        <f t="shared" si="73"/>
        <v/>
      </c>
      <c r="AP70" s="13" t="str">
        <f t="shared" si="73"/>
        <v/>
      </c>
      <c r="AQ70" s="13" t="str">
        <f t="shared" si="73"/>
        <v/>
      </c>
      <c r="AR70" s="13" t="str">
        <f t="shared" si="73"/>
        <v/>
      </c>
    </row>
    <row r="71" spans="1:44" ht="14.1" customHeight="1" x14ac:dyDescent="0.25">
      <c r="A71" s="17">
        <v>1054</v>
      </c>
      <c r="B71" s="17" t="s">
        <v>14</v>
      </c>
      <c r="C71" s="17" t="s">
        <v>39</v>
      </c>
      <c r="D71" s="17">
        <v>1</v>
      </c>
      <c r="E71" s="34">
        <f t="shared" si="76"/>
        <v>0.3</v>
      </c>
      <c r="F71" s="35">
        <f t="shared" si="77"/>
        <v>0.3</v>
      </c>
      <c r="G71" s="17">
        <v>0.16</v>
      </c>
      <c r="H71" s="18">
        <v>0.16</v>
      </c>
      <c r="I71" s="22">
        <f t="shared" si="5"/>
        <v>1054</v>
      </c>
      <c r="K71" s="27">
        <f t="shared" si="78"/>
        <v>8</v>
      </c>
      <c r="L71" s="7" t="str">
        <f t="shared" si="79"/>
        <v>A500C</v>
      </c>
      <c r="M71" s="26">
        <f t="shared" si="80"/>
        <v>770</v>
      </c>
      <c r="N71" s="26">
        <f t="shared" si="81"/>
        <v>1</v>
      </c>
      <c r="P71" s="6" t="str">
        <f t="shared" si="82"/>
        <v>8 А500C L = 770</v>
      </c>
      <c r="R71" s="6">
        <f t="shared" si="83"/>
        <v>0.39500000000000002</v>
      </c>
      <c r="T71" s="6">
        <f t="shared" si="84"/>
        <v>0.3</v>
      </c>
      <c r="U71" s="6">
        <f t="shared" si="85"/>
        <v>0.3</v>
      </c>
      <c r="X71" s="13" t="str">
        <f t="shared" si="72"/>
        <v/>
      </c>
      <c r="Y71" s="13">
        <f t="shared" si="72"/>
        <v>0.3</v>
      </c>
      <c r="Z71" s="13" t="str">
        <f t="shared" si="72"/>
        <v/>
      </c>
      <c r="AA71" s="13" t="str">
        <f t="shared" si="72"/>
        <v/>
      </c>
      <c r="AB71" s="13" t="str">
        <f t="shared" si="72"/>
        <v/>
      </c>
      <c r="AC71" s="13" t="str">
        <f t="shared" si="72"/>
        <v/>
      </c>
      <c r="AD71" s="13" t="str">
        <f t="shared" si="72"/>
        <v/>
      </c>
      <c r="AE71" s="13" t="str">
        <f t="shared" si="72"/>
        <v/>
      </c>
      <c r="AF71" s="13" t="str">
        <f t="shared" si="72"/>
        <v/>
      </c>
      <c r="AG71" s="13" t="str">
        <f t="shared" si="72"/>
        <v/>
      </c>
      <c r="AH71" s="14"/>
      <c r="AI71" s="13" t="str">
        <f t="shared" si="73"/>
        <v/>
      </c>
      <c r="AJ71" s="13" t="str">
        <f t="shared" si="73"/>
        <v/>
      </c>
      <c r="AK71" s="13" t="str">
        <f t="shared" si="73"/>
        <v/>
      </c>
      <c r="AL71" s="13" t="str">
        <f t="shared" si="73"/>
        <v/>
      </c>
      <c r="AM71" s="13" t="str">
        <f t="shared" si="73"/>
        <v/>
      </c>
      <c r="AN71" s="13" t="str">
        <f t="shared" si="73"/>
        <v/>
      </c>
      <c r="AO71" s="13" t="str">
        <f t="shared" si="73"/>
        <v/>
      </c>
      <c r="AP71" s="13" t="str">
        <f t="shared" si="73"/>
        <v/>
      </c>
      <c r="AQ71" s="13" t="str">
        <f t="shared" si="73"/>
        <v/>
      </c>
      <c r="AR71" s="13" t="str">
        <f t="shared" si="73"/>
        <v/>
      </c>
    </row>
    <row r="72" spans="1:44" ht="14.1" customHeight="1" x14ac:dyDescent="0.25">
      <c r="A72" s="17">
        <v>1054</v>
      </c>
      <c r="B72" s="17" t="s">
        <v>14</v>
      </c>
      <c r="C72" s="17" t="s">
        <v>39</v>
      </c>
      <c r="D72" s="17">
        <v>1</v>
      </c>
      <c r="E72" s="34">
        <f t="shared" si="76"/>
        <v>0.3</v>
      </c>
      <c r="F72" s="35">
        <f t="shared" si="77"/>
        <v>0.3</v>
      </c>
      <c r="G72" s="17">
        <v>0.16</v>
      </c>
      <c r="H72" s="18">
        <v>0.16</v>
      </c>
      <c r="I72" s="22">
        <f t="shared" si="5"/>
        <v>1054</v>
      </c>
      <c r="K72" s="27">
        <f t="shared" si="78"/>
        <v>8</v>
      </c>
      <c r="L72" s="7" t="str">
        <f t="shared" si="79"/>
        <v>A500C</v>
      </c>
      <c r="M72" s="26">
        <f t="shared" si="80"/>
        <v>770</v>
      </c>
      <c r="N72" s="26">
        <f t="shared" si="81"/>
        <v>1</v>
      </c>
      <c r="P72" s="6" t="str">
        <f t="shared" si="82"/>
        <v>8 А500C L = 770</v>
      </c>
      <c r="R72" s="6">
        <f t="shared" si="83"/>
        <v>0.39500000000000002</v>
      </c>
      <c r="T72" s="6">
        <f t="shared" si="84"/>
        <v>0.3</v>
      </c>
      <c r="U72" s="6">
        <f t="shared" si="85"/>
        <v>0.3</v>
      </c>
      <c r="X72" s="13" t="str">
        <f t="shared" si="72"/>
        <v/>
      </c>
      <c r="Y72" s="13">
        <f t="shared" si="72"/>
        <v>0.3</v>
      </c>
      <c r="Z72" s="13" t="str">
        <f t="shared" si="72"/>
        <v/>
      </c>
      <c r="AA72" s="13" t="str">
        <f t="shared" si="72"/>
        <v/>
      </c>
      <c r="AB72" s="13" t="str">
        <f t="shared" si="72"/>
        <v/>
      </c>
      <c r="AC72" s="13" t="str">
        <f t="shared" si="72"/>
        <v/>
      </c>
      <c r="AD72" s="13" t="str">
        <f t="shared" si="72"/>
        <v/>
      </c>
      <c r="AE72" s="13" t="str">
        <f t="shared" si="72"/>
        <v/>
      </c>
      <c r="AF72" s="13" t="str">
        <f t="shared" si="72"/>
        <v/>
      </c>
      <c r="AG72" s="13" t="str">
        <f t="shared" si="72"/>
        <v/>
      </c>
      <c r="AH72" s="14"/>
      <c r="AI72" s="13" t="str">
        <f t="shared" si="73"/>
        <v/>
      </c>
      <c r="AJ72" s="13" t="str">
        <f t="shared" si="73"/>
        <v/>
      </c>
      <c r="AK72" s="13" t="str">
        <f t="shared" si="73"/>
        <v/>
      </c>
      <c r="AL72" s="13" t="str">
        <f t="shared" si="73"/>
        <v/>
      </c>
      <c r="AM72" s="13" t="str">
        <f t="shared" si="73"/>
        <v/>
      </c>
      <c r="AN72" s="13" t="str">
        <f t="shared" si="73"/>
        <v/>
      </c>
      <c r="AO72" s="13" t="str">
        <f t="shared" si="73"/>
        <v/>
      </c>
      <c r="AP72" s="13" t="str">
        <f t="shared" si="73"/>
        <v/>
      </c>
      <c r="AQ72" s="13" t="str">
        <f t="shared" si="73"/>
        <v/>
      </c>
      <c r="AR72" s="13" t="str">
        <f t="shared" si="73"/>
        <v/>
      </c>
    </row>
    <row r="73" spans="1:44" ht="14.1" customHeight="1" x14ac:dyDescent="0.25">
      <c r="A73" s="17">
        <v>1054</v>
      </c>
      <c r="B73" s="17" t="s">
        <v>14</v>
      </c>
      <c r="C73" s="17" t="s">
        <v>39</v>
      </c>
      <c r="D73" s="17">
        <v>1</v>
      </c>
      <c r="E73" s="34">
        <f t="shared" si="76"/>
        <v>0.3</v>
      </c>
      <c r="F73" s="35">
        <f t="shared" si="77"/>
        <v>0.3</v>
      </c>
      <c r="G73" s="17">
        <v>0.16</v>
      </c>
      <c r="H73" s="18">
        <v>0.16</v>
      </c>
      <c r="I73" s="22">
        <f t="shared" si="5"/>
        <v>1054</v>
      </c>
      <c r="K73" s="27">
        <f t="shared" si="78"/>
        <v>8</v>
      </c>
      <c r="L73" s="7" t="str">
        <f t="shared" si="79"/>
        <v>A500C</v>
      </c>
      <c r="M73" s="26">
        <f t="shared" si="80"/>
        <v>770</v>
      </c>
      <c r="N73" s="26">
        <f t="shared" si="81"/>
        <v>1</v>
      </c>
      <c r="P73" s="6" t="str">
        <f t="shared" si="82"/>
        <v>8 А500C L = 770</v>
      </c>
      <c r="R73" s="6">
        <f t="shared" si="83"/>
        <v>0.39500000000000002</v>
      </c>
      <c r="T73" s="6">
        <f t="shared" si="84"/>
        <v>0.3</v>
      </c>
      <c r="U73" s="6">
        <f t="shared" si="85"/>
        <v>0.3</v>
      </c>
      <c r="X73" s="13" t="str">
        <f t="shared" si="72"/>
        <v/>
      </c>
      <c r="Y73" s="13">
        <f t="shared" si="72"/>
        <v>0.3</v>
      </c>
      <c r="Z73" s="13" t="str">
        <f t="shared" si="72"/>
        <v/>
      </c>
      <c r="AA73" s="13" t="str">
        <f t="shared" si="72"/>
        <v/>
      </c>
      <c r="AB73" s="13" t="str">
        <f t="shared" si="72"/>
        <v/>
      </c>
      <c r="AC73" s="13" t="str">
        <f t="shared" si="72"/>
        <v/>
      </c>
      <c r="AD73" s="13" t="str">
        <f t="shared" si="72"/>
        <v/>
      </c>
      <c r="AE73" s="13" t="str">
        <f t="shared" si="72"/>
        <v/>
      </c>
      <c r="AF73" s="13" t="str">
        <f t="shared" si="72"/>
        <v/>
      </c>
      <c r="AG73" s="13" t="str">
        <f t="shared" si="72"/>
        <v/>
      </c>
      <c r="AH73" s="14"/>
      <c r="AI73" s="13" t="str">
        <f t="shared" si="73"/>
        <v/>
      </c>
      <c r="AJ73" s="13" t="str">
        <f t="shared" si="73"/>
        <v/>
      </c>
      <c r="AK73" s="13" t="str">
        <f t="shared" si="73"/>
        <v/>
      </c>
      <c r="AL73" s="13" t="str">
        <f t="shared" si="73"/>
        <v/>
      </c>
      <c r="AM73" s="13" t="str">
        <f t="shared" si="73"/>
        <v/>
      </c>
      <c r="AN73" s="13" t="str">
        <f t="shared" si="73"/>
        <v/>
      </c>
      <c r="AO73" s="13" t="str">
        <f t="shared" si="73"/>
        <v/>
      </c>
      <c r="AP73" s="13" t="str">
        <f t="shared" si="73"/>
        <v/>
      </c>
      <c r="AQ73" s="13" t="str">
        <f t="shared" si="73"/>
        <v/>
      </c>
      <c r="AR73" s="13" t="str">
        <f t="shared" si="73"/>
        <v/>
      </c>
    </row>
    <row r="74" spans="1:44" ht="14.1" customHeight="1" x14ac:dyDescent="0.25">
      <c r="A74" s="17">
        <v>1054</v>
      </c>
      <c r="B74" s="17" t="s">
        <v>14</v>
      </c>
      <c r="C74" s="17" t="s">
        <v>39</v>
      </c>
      <c r="D74" s="17">
        <v>1</v>
      </c>
      <c r="E74" s="34">
        <f t="shared" si="76"/>
        <v>0.3</v>
      </c>
      <c r="F74" s="35">
        <f t="shared" si="77"/>
        <v>0.3</v>
      </c>
      <c r="G74" s="17">
        <v>0.16</v>
      </c>
      <c r="H74" s="18">
        <v>0.16</v>
      </c>
      <c r="I74" s="22">
        <f t="shared" si="5"/>
        <v>1054</v>
      </c>
      <c r="K74" s="27">
        <f t="shared" si="78"/>
        <v>8</v>
      </c>
      <c r="L74" s="7" t="str">
        <f t="shared" si="79"/>
        <v>A500C</v>
      </c>
      <c r="M74" s="26">
        <f t="shared" si="80"/>
        <v>770</v>
      </c>
      <c r="N74" s="26">
        <f t="shared" si="81"/>
        <v>1</v>
      </c>
      <c r="P74" s="6" t="str">
        <f t="shared" si="82"/>
        <v>8 А500C L = 770</v>
      </c>
      <c r="R74" s="6">
        <f t="shared" si="83"/>
        <v>0.39500000000000002</v>
      </c>
      <c r="T74" s="6">
        <f t="shared" si="84"/>
        <v>0.3</v>
      </c>
      <c r="U74" s="6">
        <f t="shared" si="85"/>
        <v>0.3</v>
      </c>
      <c r="X74" s="13" t="str">
        <f t="shared" si="72"/>
        <v/>
      </c>
      <c r="Y74" s="13">
        <f t="shared" si="72"/>
        <v>0.3</v>
      </c>
      <c r="Z74" s="13" t="str">
        <f t="shared" si="72"/>
        <v/>
      </c>
      <c r="AA74" s="13" t="str">
        <f t="shared" si="72"/>
        <v/>
      </c>
      <c r="AB74" s="13" t="str">
        <f t="shared" si="72"/>
        <v/>
      </c>
      <c r="AC74" s="13" t="str">
        <f t="shared" si="72"/>
        <v/>
      </c>
      <c r="AD74" s="13" t="str">
        <f t="shared" si="72"/>
        <v/>
      </c>
      <c r="AE74" s="13" t="str">
        <f t="shared" si="72"/>
        <v/>
      </c>
      <c r="AF74" s="13" t="str">
        <f t="shared" si="72"/>
        <v/>
      </c>
      <c r="AG74" s="13" t="str">
        <f t="shared" si="72"/>
        <v/>
      </c>
      <c r="AH74" s="14"/>
      <c r="AI74" s="13" t="str">
        <f t="shared" si="73"/>
        <v/>
      </c>
      <c r="AJ74" s="13" t="str">
        <f t="shared" si="73"/>
        <v/>
      </c>
      <c r="AK74" s="13" t="str">
        <f t="shared" si="73"/>
        <v/>
      </c>
      <c r="AL74" s="13" t="str">
        <f t="shared" si="73"/>
        <v/>
      </c>
      <c r="AM74" s="13" t="str">
        <f t="shared" si="73"/>
        <v/>
      </c>
      <c r="AN74" s="13" t="str">
        <f t="shared" si="73"/>
        <v/>
      </c>
      <c r="AO74" s="13" t="str">
        <f t="shared" si="73"/>
        <v/>
      </c>
      <c r="AP74" s="13" t="str">
        <f t="shared" si="73"/>
        <v/>
      </c>
      <c r="AQ74" s="13" t="str">
        <f t="shared" si="73"/>
        <v/>
      </c>
      <c r="AR74" s="13" t="str">
        <f t="shared" si="73"/>
        <v/>
      </c>
    </row>
    <row r="75" spans="1:44" ht="14.1" customHeight="1" x14ac:dyDescent="0.25">
      <c r="A75" s="17">
        <v>1054</v>
      </c>
      <c r="B75" s="17" t="s">
        <v>14</v>
      </c>
      <c r="C75" s="17" t="s">
        <v>39</v>
      </c>
      <c r="D75" s="17">
        <v>1</v>
      </c>
      <c r="E75" s="34">
        <f t="shared" si="76"/>
        <v>0.3</v>
      </c>
      <c r="F75" s="35">
        <f t="shared" si="77"/>
        <v>0.3</v>
      </c>
      <c r="G75" s="17">
        <v>0.16</v>
      </c>
      <c r="H75" s="18">
        <v>0.16</v>
      </c>
      <c r="I75" s="22">
        <f t="shared" si="5"/>
        <v>1054</v>
      </c>
      <c r="K75" s="27">
        <f t="shared" si="78"/>
        <v>8</v>
      </c>
      <c r="L75" s="7" t="str">
        <f t="shared" si="79"/>
        <v>A500C</v>
      </c>
      <c r="M75" s="26">
        <f t="shared" si="80"/>
        <v>770</v>
      </c>
      <c r="N75" s="26">
        <f t="shared" si="81"/>
        <v>1</v>
      </c>
      <c r="P75" s="6" t="str">
        <f t="shared" si="82"/>
        <v>8 А500C L = 770</v>
      </c>
      <c r="R75" s="6">
        <f t="shared" si="83"/>
        <v>0.39500000000000002</v>
      </c>
      <c r="T75" s="6">
        <f t="shared" si="84"/>
        <v>0.3</v>
      </c>
      <c r="U75" s="6">
        <f t="shared" si="85"/>
        <v>0.3</v>
      </c>
      <c r="X75" s="13" t="str">
        <f t="shared" si="72"/>
        <v/>
      </c>
      <c r="Y75" s="13">
        <f t="shared" si="72"/>
        <v>0.3</v>
      </c>
      <c r="Z75" s="13" t="str">
        <f t="shared" si="72"/>
        <v/>
      </c>
      <c r="AA75" s="13" t="str">
        <f t="shared" si="72"/>
        <v/>
      </c>
      <c r="AB75" s="13" t="str">
        <f t="shared" si="72"/>
        <v/>
      </c>
      <c r="AC75" s="13" t="str">
        <f t="shared" si="72"/>
        <v/>
      </c>
      <c r="AD75" s="13" t="str">
        <f t="shared" si="72"/>
        <v/>
      </c>
      <c r="AE75" s="13" t="str">
        <f t="shared" si="72"/>
        <v/>
      </c>
      <c r="AF75" s="13" t="str">
        <f t="shared" si="72"/>
        <v/>
      </c>
      <c r="AG75" s="13" t="str">
        <f t="shared" si="72"/>
        <v/>
      </c>
      <c r="AH75" s="14"/>
      <c r="AI75" s="13" t="str">
        <f t="shared" si="73"/>
        <v/>
      </c>
      <c r="AJ75" s="13" t="str">
        <f t="shared" si="73"/>
        <v/>
      </c>
      <c r="AK75" s="13" t="str">
        <f t="shared" si="73"/>
        <v/>
      </c>
      <c r="AL75" s="13" t="str">
        <f t="shared" si="73"/>
        <v/>
      </c>
      <c r="AM75" s="13" t="str">
        <f t="shared" si="73"/>
        <v/>
      </c>
      <c r="AN75" s="13" t="str">
        <f t="shared" si="73"/>
        <v/>
      </c>
      <c r="AO75" s="13" t="str">
        <f t="shared" si="73"/>
        <v/>
      </c>
      <c r="AP75" s="13" t="str">
        <f t="shared" si="73"/>
        <v/>
      </c>
      <c r="AQ75" s="13" t="str">
        <f t="shared" si="73"/>
        <v/>
      </c>
      <c r="AR75" s="13" t="str">
        <f t="shared" si="73"/>
        <v/>
      </c>
    </row>
    <row r="76" spans="1:44" ht="14.1" customHeight="1" x14ac:dyDescent="0.25">
      <c r="A76" s="17">
        <v>1054</v>
      </c>
      <c r="B76" s="17" t="s">
        <v>14</v>
      </c>
      <c r="C76" s="17" t="s">
        <v>39</v>
      </c>
      <c r="D76" s="17">
        <v>1</v>
      </c>
      <c r="E76" s="34">
        <f t="shared" si="76"/>
        <v>0.3</v>
      </c>
      <c r="F76" s="35">
        <f t="shared" si="77"/>
        <v>0.3</v>
      </c>
      <c r="G76" s="17">
        <v>0.16</v>
      </c>
      <c r="H76" s="18">
        <v>0.16</v>
      </c>
      <c r="I76" s="22">
        <f t="shared" si="5"/>
        <v>1054</v>
      </c>
      <c r="K76" s="27">
        <f t="shared" si="78"/>
        <v>8</v>
      </c>
      <c r="L76" s="7" t="str">
        <f t="shared" si="79"/>
        <v>A500C</v>
      </c>
      <c r="M76" s="26">
        <f t="shared" si="80"/>
        <v>770</v>
      </c>
      <c r="N76" s="26">
        <f t="shared" si="81"/>
        <v>1</v>
      </c>
      <c r="P76" s="6" t="str">
        <f t="shared" si="82"/>
        <v>8 А500C L = 770</v>
      </c>
      <c r="R76" s="6">
        <f t="shared" si="83"/>
        <v>0.39500000000000002</v>
      </c>
      <c r="T76" s="6">
        <f t="shared" si="84"/>
        <v>0.3</v>
      </c>
      <c r="U76" s="6">
        <f t="shared" si="85"/>
        <v>0.3</v>
      </c>
      <c r="X76" s="13" t="str">
        <f t="shared" si="72"/>
        <v/>
      </c>
      <c r="Y76" s="13">
        <f t="shared" si="72"/>
        <v>0.3</v>
      </c>
      <c r="Z76" s="13" t="str">
        <f t="shared" si="72"/>
        <v/>
      </c>
      <c r="AA76" s="13" t="str">
        <f t="shared" si="72"/>
        <v/>
      </c>
      <c r="AB76" s="13" t="str">
        <f t="shared" si="72"/>
        <v/>
      </c>
      <c r="AC76" s="13" t="str">
        <f t="shared" si="72"/>
        <v/>
      </c>
      <c r="AD76" s="13" t="str">
        <f t="shared" si="72"/>
        <v/>
      </c>
      <c r="AE76" s="13" t="str">
        <f t="shared" si="72"/>
        <v/>
      </c>
      <c r="AF76" s="13" t="str">
        <f t="shared" si="72"/>
        <v/>
      </c>
      <c r="AG76" s="13" t="str">
        <f t="shared" si="72"/>
        <v/>
      </c>
      <c r="AH76" s="14"/>
      <c r="AI76" s="13" t="str">
        <f t="shared" si="73"/>
        <v/>
      </c>
      <c r="AJ76" s="13" t="str">
        <f t="shared" si="73"/>
        <v/>
      </c>
      <c r="AK76" s="13" t="str">
        <f t="shared" si="73"/>
        <v/>
      </c>
      <c r="AL76" s="13" t="str">
        <f t="shared" si="73"/>
        <v/>
      </c>
      <c r="AM76" s="13" t="str">
        <f t="shared" si="73"/>
        <v/>
      </c>
      <c r="AN76" s="13" t="str">
        <f t="shared" si="73"/>
        <v/>
      </c>
      <c r="AO76" s="13" t="str">
        <f t="shared" si="73"/>
        <v/>
      </c>
      <c r="AP76" s="13" t="str">
        <f t="shared" si="73"/>
        <v/>
      </c>
      <c r="AQ76" s="13" t="str">
        <f t="shared" si="73"/>
        <v/>
      </c>
      <c r="AR76" s="13" t="str">
        <f t="shared" si="73"/>
        <v/>
      </c>
    </row>
    <row r="77" spans="1:44" ht="14.1" customHeight="1" x14ac:dyDescent="0.25">
      <c r="A77" s="17">
        <v>1054</v>
      </c>
      <c r="B77" s="17" t="s">
        <v>14</v>
      </c>
      <c r="C77" s="17" t="s">
        <v>39</v>
      </c>
      <c r="D77" s="17">
        <v>1</v>
      </c>
      <c r="E77" s="34">
        <f t="shared" si="76"/>
        <v>0.3</v>
      </c>
      <c r="F77" s="35">
        <f t="shared" si="77"/>
        <v>0.3</v>
      </c>
      <c r="G77" s="17">
        <v>0.16</v>
      </c>
      <c r="H77" s="18">
        <v>0.16</v>
      </c>
      <c r="I77" s="22">
        <f t="shared" si="5"/>
        <v>1054</v>
      </c>
      <c r="K77" s="27">
        <f t="shared" si="78"/>
        <v>8</v>
      </c>
      <c r="L77" s="7" t="str">
        <f t="shared" si="79"/>
        <v>A500C</v>
      </c>
      <c r="M77" s="26">
        <f t="shared" si="80"/>
        <v>770</v>
      </c>
      <c r="N77" s="26">
        <f t="shared" si="81"/>
        <v>1</v>
      </c>
      <c r="P77" s="6" t="str">
        <f t="shared" si="82"/>
        <v>8 А500C L = 770</v>
      </c>
      <c r="R77" s="6">
        <f t="shared" si="83"/>
        <v>0.39500000000000002</v>
      </c>
      <c r="T77" s="6">
        <f t="shared" si="84"/>
        <v>0.3</v>
      </c>
      <c r="U77" s="6">
        <f t="shared" si="85"/>
        <v>0.3</v>
      </c>
      <c r="X77" s="13" t="str">
        <f t="shared" si="72"/>
        <v/>
      </c>
      <c r="Y77" s="13">
        <f t="shared" si="72"/>
        <v>0.3</v>
      </c>
      <c r="Z77" s="13" t="str">
        <f t="shared" si="72"/>
        <v/>
      </c>
      <c r="AA77" s="13" t="str">
        <f t="shared" si="72"/>
        <v/>
      </c>
      <c r="AB77" s="13" t="str">
        <f t="shared" si="72"/>
        <v/>
      </c>
      <c r="AC77" s="13" t="str">
        <f t="shared" si="72"/>
        <v/>
      </c>
      <c r="AD77" s="13" t="str">
        <f t="shared" si="72"/>
        <v/>
      </c>
      <c r="AE77" s="13" t="str">
        <f t="shared" si="72"/>
        <v/>
      </c>
      <c r="AF77" s="13" t="str">
        <f t="shared" si="72"/>
        <v/>
      </c>
      <c r="AG77" s="13" t="str">
        <f t="shared" si="72"/>
        <v/>
      </c>
      <c r="AH77" s="14"/>
      <c r="AI77" s="13" t="str">
        <f t="shared" si="73"/>
        <v/>
      </c>
      <c r="AJ77" s="13" t="str">
        <f t="shared" si="73"/>
        <v/>
      </c>
      <c r="AK77" s="13" t="str">
        <f t="shared" si="73"/>
        <v/>
      </c>
      <c r="AL77" s="13" t="str">
        <f t="shared" si="73"/>
        <v/>
      </c>
      <c r="AM77" s="13" t="str">
        <f t="shared" si="73"/>
        <v/>
      </c>
      <c r="AN77" s="13" t="str">
        <f t="shared" si="73"/>
        <v/>
      </c>
      <c r="AO77" s="13" t="str">
        <f t="shared" si="73"/>
        <v/>
      </c>
      <c r="AP77" s="13" t="str">
        <f t="shared" si="73"/>
        <v/>
      </c>
      <c r="AQ77" s="13" t="str">
        <f t="shared" si="73"/>
        <v/>
      </c>
      <c r="AR77" s="13" t="str">
        <f t="shared" si="73"/>
        <v/>
      </c>
    </row>
    <row r="78" spans="1:44" ht="14.1" customHeight="1" x14ac:dyDescent="0.25">
      <c r="A78" s="17">
        <v>1054</v>
      </c>
      <c r="B78" s="17" t="s">
        <v>14</v>
      </c>
      <c r="C78" s="17" t="s">
        <v>39</v>
      </c>
      <c r="D78" s="17">
        <v>1</v>
      </c>
      <c r="E78" s="34">
        <f t="shared" si="76"/>
        <v>0.3</v>
      </c>
      <c r="F78" s="35">
        <f t="shared" si="77"/>
        <v>0.3</v>
      </c>
      <c r="G78" s="17">
        <v>0.16</v>
      </c>
      <c r="H78" s="18">
        <v>0.16</v>
      </c>
      <c r="I78" s="22">
        <f t="shared" si="5"/>
        <v>1054</v>
      </c>
      <c r="K78" s="27">
        <f t="shared" si="78"/>
        <v>8</v>
      </c>
      <c r="L78" s="7" t="str">
        <f t="shared" si="79"/>
        <v>A500C</v>
      </c>
      <c r="M78" s="26">
        <f t="shared" si="80"/>
        <v>770</v>
      </c>
      <c r="N78" s="26">
        <f t="shared" si="81"/>
        <v>1</v>
      </c>
      <c r="P78" s="6" t="str">
        <f t="shared" si="82"/>
        <v>8 А500C L = 770</v>
      </c>
      <c r="R78" s="6">
        <f t="shared" si="83"/>
        <v>0.39500000000000002</v>
      </c>
      <c r="T78" s="6">
        <f t="shared" si="84"/>
        <v>0.3</v>
      </c>
      <c r="U78" s="6">
        <f t="shared" si="85"/>
        <v>0.3</v>
      </c>
      <c r="X78" s="13" t="str">
        <f t="shared" si="72"/>
        <v/>
      </c>
      <c r="Y78" s="13">
        <f t="shared" si="72"/>
        <v>0.3</v>
      </c>
      <c r="Z78" s="13" t="str">
        <f t="shared" si="72"/>
        <v/>
      </c>
      <c r="AA78" s="13" t="str">
        <f t="shared" si="72"/>
        <v/>
      </c>
      <c r="AB78" s="13" t="str">
        <f t="shared" si="72"/>
        <v/>
      </c>
      <c r="AC78" s="13" t="str">
        <f t="shared" si="72"/>
        <v/>
      </c>
      <c r="AD78" s="13" t="str">
        <f t="shared" si="72"/>
        <v/>
      </c>
      <c r="AE78" s="13" t="str">
        <f t="shared" si="72"/>
        <v/>
      </c>
      <c r="AF78" s="13" t="str">
        <f t="shared" si="72"/>
        <v/>
      </c>
      <c r="AG78" s="13" t="str">
        <f t="shared" si="72"/>
        <v/>
      </c>
      <c r="AH78" s="14"/>
      <c r="AI78" s="13" t="str">
        <f t="shared" si="73"/>
        <v/>
      </c>
      <c r="AJ78" s="13" t="str">
        <f t="shared" si="73"/>
        <v/>
      </c>
      <c r="AK78" s="13" t="str">
        <f t="shared" si="73"/>
        <v/>
      </c>
      <c r="AL78" s="13" t="str">
        <f t="shared" si="73"/>
        <v/>
      </c>
      <c r="AM78" s="13" t="str">
        <f t="shared" si="73"/>
        <v/>
      </c>
      <c r="AN78" s="13" t="str">
        <f t="shared" si="73"/>
        <v/>
      </c>
      <c r="AO78" s="13" t="str">
        <f t="shared" si="73"/>
        <v/>
      </c>
      <c r="AP78" s="13" t="str">
        <f t="shared" si="73"/>
        <v/>
      </c>
      <c r="AQ78" s="13" t="str">
        <f t="shared" si="73"/>
        <v/>
      </c>
      <c r="AR78" s="13" t="str">
        <f t="shared" si="73"/>
        <v/>
      </c>
    </row>
    <row r="79" spans="1:44" ht="14.1" customHeight="1" x14ac:dyDescent="0.25">
      <c r="A79" s="17">
        <v>1054</v>
      </c>
      <c r="B79" s="17" t="s">
        <v>14</v>
      </c>
      <c r="C79" s="17" t="s">
        <v>39</v>
      </c>
      <c r="D79" s="17">
        <v>1</v>
      </c>
      <c r="E79" s="34">
        <f t="shared" si="76"/>
        <v>0.3</v>
      </c>
      <c r="F79" s="35">
        <f t="shared" si="77"/>
        <v>0.3</v>
      </c>
      <c r="G79" s="17">
        <v>0.16</v>
      </c>
      <c r="H79" s="18">
        <v>0.16</v>
      </c>
      <c r="I79" s="22">
        <f t="shared" si="5"/>
        <v>1054</v>
      </c>
      <c r="K79" s="27">
        <f t="shared" si="78"/>
        <v>8</v>
      </c>
      <c r="L79" s="7" t="str">
        <f t="shared" si="79"/>
        <v>A500C</v>
      </c>
      <c r="M79" s="26">
        <f t="shared" si="80"/>
        <v>770</v>
      </c>
      <c r="N79" s="26">
        <f t="shared" si="81"/>
        <v>1</v>
      </c>
      <c r="P79" s="6" t="str">
        <f t="shared" si="82"/>
        <v>8 А500C L = 770</v>
      </c>
      <c r="R79" s="6">
        <f t="shared" si="83"/>
        <v>0.39500000000000002</v>
      </c>
      <c r="T79" s="6">
        <f t="shared" si="84"/>
        <v>0.3</v>
      </c>
      <c r="U79" s="6">
        <f t="shared" si="85"/>
        <v>0.3</v>
      </c>
      <c r="X79" s="13" t="str">
        <f t="shared" ref="X79:AG101" si="86">IF(AND($K79=X$2,$L79=X$1),$F79,"")</f>
        <v/>
      </c>
      <c r="Y79" s="13">
        <f t="shared" si="86"/>
        <v>0.3</v>
      </c>
      <c r="Z79" s="13" t="str">
        <f t="shared" si="86"/>
        <v/>
      </c>
      <c r="AA79" s="13" t="str">
        <f t="shared" si="86"/>
        <v/>
      </c>
      <c r="AB79" s="13" t="str">
        <f t="shared" si="86"/>
        <v/>
      </c>
      <c r="AC79" s="13" t="str">
        <f t="shared" si="86"/>
        <v/>
      </c>
      <c r="AD79" s="13" t="str">
        <f t="shared" si="86"/>
        <v/>
      </c>
      <c r="AE79" s="13" t="str">
        <f t="shared" si="86"/>
        <v/>
      </c>
      <c r="AF79" s="13" t="str">
        <f t="shared" si="86"/>
        <v/>
      </c>
      <c r="AG79" s="13" t="str">
        <f t="shared" si="86"/>
        <v/>
      </c>
      <c r="AH79" s="14"/>
      <c r="AI79" s="13" t="str">
        <f t="shared" ref="AI79:AR101" si="87">IF(AND($K79=AI$2,$L79=AI$1),$F79,"")</f>
        <v/>
      </c>
      <c r="AJ79" s="13" t="str">
        <f t="shared" si="87"/>
        <v/>
      </c>
      <c r="AK79" s="13" t="str">
        <f t="shared" si="87"/>
        <v/>
      </c>
      <c r="AL79" s="13" t="str">
        <f t="shared" si="87"/>
        <v/>
      </c>
      <c r="AM79" s="13" t="str">
        <f t="shared" si="87"/>
        <v/>
      </c>
      <c r="AN79" s="13" t="str">
        <f t="shared" si="87"/>
        <v/>
      </c>
      <c r="AO79" s="13" t="str">
        <f t="shared" si="87"/>
        <v/>
      </c>
      <c r="AP79" s="13" t="str">
        <f t="shared" si="87"/>
        <v/>
      </c>
      <c r="AQ79" s="13" t="str">
        <f t="shared" si="87"/>
        <v/>
      </c>
      <c r="AR79" s="13" t="str">
        <f t="shared" si="87"/>
        <v/>
      </c>
    </row>
    <row r="80" spans="1:44" ht="14.1" customHeight="1" x14ac:dyDescent="0.25">
      <c r="A80" s="17">
        <v>1054</v>
      </c>
      <c r="B80" s="17" t="s">
        <v>14</v>
      </c>
      <c r="C80" s="17" t="s">
        <v>39</v>
      </c>
      <c r="D80" s="17">
        <v>1</v>
      </c>
      <c r="E80" s="34">
        <f t="shared" si="76"/>
        <v>0.3</v>
      </c>
      <c r="F80" s="35">
        <f t="shared" si="77"/>
        <v>0.3</v>
      </c>
      <c r="G80" s="17">
        <v>0.16</v>
      </c>
      <c r="H80" s="18">
        <v>0.16</v>
      </c>
      <c r="I80" s="22">
        <f t="shared" si="5"/>
        <v>1054</v>
      </c>
      <c r="K80" s="27">
        <f t="shared" si="78"/>
        <v>8</v>
      </c>
      <c r="L80" s="7" t="str">
        <f t="shared" si="79"/>
        <v>A500C</v>
      </c>
      <c r="M80" s="26">
        <f t="shared" si="80"/>
        <v>770</v>
      </c>
      <c r="N80" s="26">
        <f t="shared" si="81"/>
        <v>1</v>
      </c>
      <c r="P80" s="6" t="str">
        <f t="shared" si="82"/>
        <v>8 А500C L = 770</v>
      </c>
      <c r="R80" s="6">
        <f t="shared" si="83"/>
        <v>0.39500000000000002</v>
      </c>
      <c r="T80" s="6">
        <f t="shared" si="84"/>
        <v>0.3</v>
      </c>
      <c r="U80" s="6">
        <f t="shared" si="85"/>
        <v>0.3</v>
      </c>
      <c r="X80" s="13" t="str">
        <f t="shared" si="86"/>
        <v/>
      </c>
      <c r="Y80" s="13">
        <f t="shared" si="86"/>
        <v>0.3</v>
      </c>
      <c r="Z80" s="13" t="str">
        <f t="shared" si="86"/>
        <v/>
      </c>
      <c r="AA80" s="13" t="str">
        <f t="shared" si="86"/>
        <v/>
      </c>
      <c r="AB80" s="13" t="str">
        <f t="shared" si="86"/>
        <v/>
      </c>
      <c r="AC80" s="13" t="str">
        <f t="shared" si="86"/>
        <v/>
      </c>
      <c r="AD80" s="13" t="str">
        <f t="shared" si="86"/>
        <v/>
      </c>
      <c r="AE80" s="13" t="str">
        <f t="shared" si="86"/>
        <v/>
      </c>
      <c r="AF80" s="13" t="str">
        <f t="shared" si="86"/>
        <v/>
      </c>
      <c r="AG80" s="13" t="str">
        <f t="shared" si="86"/>
        <v/>
      </c>
      <c r="AH80" s="14"/>
      <c r="AI80" s="13" t="str">
        <f t="shared" si="87"/>
        <v/>
      </c>
      <c r="AJ80" s="13" t="str">
        <f t="shared" si="87"/>
        <v/>
      </c>
      <c r="AK80" s="13" t="str">
        <f t="shared" si="87"/>
        <v/>
      </c>
      <c r="AL80" s="13" t="str">
        <f t="shared" si="87"/>
        <v/>
      </c>
      <c r="AM80" s="13" t="str">
        <f t="shared" si="87"/>
        <v/>
      </c>
      <c r="AN80" s="13" t="str">
        <f t="shared" si="87"/>
        <v/>
      </c>
      <c r="AO80" s="13" t="str">
        <f t="shared" si="87"/>
        <v/>
      </c>
      <c r="AP80" s="13" t="str">
        <f t="shared" si="87"/>
        <v/>
      </c>
      <c r="AQ80" s="13" t="str">
        <f t="shared" si="87"/>
        <v/>
      </c>
      <c r="AR80" s="13" t="str">
        <f t="shared" si="87"/>
        <v/>
      </c>
    </row>
    <row r="81" spans="1:44" ht="14.1" customHeight="1" x14ac:dyDescent="0.25">
      <c r="A81" s="17">
        <v>1054</v>
      </c>
      <c r="B81" s="17" t="s">
        <v>14</v>
      </c>
      <c r="C81" s="17" t="s">
        <v>39</v>
      </c>
      <c r="D81" s="17">
        <v>1</v>
      </c>
      <c r="E81" s="34">
        <f t="shared" si="76"/>
        <v>0.3</v>
      </c>
      <c r="F81" s="35">
        <f t="shared" si="77"/>
        <v>0.3</v>
      </c>
      <c r="G81" s="17">
        <v>0.16</v>
      </c>
      <c r="H81" s="18">
        <v>0.16</v>
      </c>
      <c r="I81" s="22">
        <f t="shared" si="5"/>
        <v>1054</v>
      </c>
      <c r="K81" s="27">
        <f t="shared" si="78"/>
        <v>8</v>
      </c>
      <c r="L81" s="7" t="str">
        <f t="shared" si="79"/>
        <v>A500C</v>
      </c>
      <c r="M81" s="26">
        <f t="shared" si="80"/>
        <v>770</v>
      </c>
      <c r="N81" s="26">
        <f t="shared" si="81"/>
        <v>1</v>
      </c>
      <c r="P81" s="6" t="str">
        <f t="shared" si="82"/>
        <v>8 А500C L = 770</v>
      </c>
      <c r="R81" s="6">
        <f t="shared" si="83"/>
        <v>0.39500000000000002</v>
      </c>
      <c r="T81" s="6">
        <f t="shared" si="84"/>
        <v>0.3</v>
      </c>
      <c r="U81" s="6">
        <f t="shared" si="85"/>
        <v>0.3</v>
      </c>
      <c r="X81" s="13" t="str">
        <f t="shared" si="86"/>
        <v/>
      </c>
      <c r="Y81" s="13">
        <f t="shared" si="86"/>
        <v>0.3</v>
      </c>
      <c r="Z81" s="13" t="str">
        <f t="shared" si="86"/>
        <v/>
      </c>
      <c r="AA81" s="13" t="str">
        <f t="shared" si="86"/>
        <v/>
      </c>
      <c r="AB81" s="13" t="str">
        <f t="shared" si="86"/>
        <v/>
      </c>
      <c r="AC81" s="13" t="str">
        <f t="shared" si="86"/>
        <v/>
      </c>
      <c r="AD81" s="13" t="str">
        <f t="shared" si="86"/>
        <v/>
      </c>
      <c r="AE81" s="13" t="str">
        <f t="shared" si="86"/>
        <v/>
      </c>
      <c r="AF81" s="13" t="str">
        <f t="shared" si="86"/>
        <v/>
      </c>
      <c r="AG81" s="13" t="str">
        <f t="shared" si="86"/>
        <v/>
      </c>
      <c r="AH81" s="14"/>
      <c r="AI81" s="13" t="str">
        <f t="shared" si="87"/>
        <v/>
      </c>
      <c r="AJ81" s="13" t="str">
        <f t="shared" si="87"/>
        <v/>
      </c>
      <c r="AK81" s="13" t="str">
        <f t="shared" si="87"/>
        <v/>
      </c>
      <c r="AL81" s="13" t="str">
        <f t="shared" si="87"/>
        <v/>
      </c>
      <c r="AM81" s="13" t="str">
        <f t="shared" si="87"/>
        <v/>
      </c>
      <c r="AN81" s="13" t="str">
        <f t="shared" si="87"/>
        <v/>
      </c>
      <c r="AO81" s="13" t="str">
        <f t="shared" si="87"/>
        <v/>
      </c>
      <c r="AP81" s="13" t="str">
        <f t="shared" si="87"/>
        <v/>
      </c>
      <c r="AQ81" s="13" t="str">
        <f t="shared" si="87"/>
        <v/>
      </c>
      <c r="AR81" s="13" t="str">
        <f t="shared" si="87"/>
        <v/>
      </c>
    </row>
    <row r="82" spans="1:44" ht="14.1" customHeight="1" x14ac:dyDescent="0.25">
      <c r="A82" s="17">
        <v>1054</v>
      </c>
      <c r="B82" s="17" t="s">
        <v>14</v>
      </c>
      <c r="C82" s="17" t="s">
        <v>39</v>
      </c>
      <c r="D82" s="17">
        <v>1</v>
      </c>
      <c r="E82" s="34">
        <f t="shared" si="76"/>
        <v>0.3</v>
      </c>
      <c r="F82" s="35">
        <f t="shared" si="77"/>
        <v>0.3</v>
      </c>
      <c r="G82" s="17">
        <v>0.16</v>
      </c>
      <c r="H82" s="18">
        <v>0.16</v>
      </c>
      <c r="I82" s="22">
        <f t="shared" si="5"/>
        <v>1054</v>
      </c>
      <c r="K82" s="27">
        <f t="shared" si="78"/>
        <v>8</v>
      </c>
      <c r="L82" s="7" t="str">
        <f t="shared" si="79"/>
        <v>A500C</v>
      </c>
      <c r="M82" s="26">
        <f t="shared" si="80"/>
        <v>770</v>
      </c>
      <c r="N82" s="26">
        <f t="shared" si="81"/>
        <v>1</v>
      </c>
      <c r="P82" s="6" t="str">
        <f t="shared" si="82"/>
        <v>8 А500C L = 770</v>
      </c>
      <c r="R82" s="6">
        <f t="shared" si="83"/>
        <v>0.39500000000000002</v>
      </c>
      <c r="T82" s="6">
        <f t="shared" si="84"/>
        <v>0.3</v>
      </c>
      <c r="U82" s="6">
        <f t="shared" si="85"/>
        <v>0.3</v>
      </c>
      <c r="X82" s="13" t="str">
        <f t="shared" si="86"/>
        <v/>
      </c>
      <c r="Y82" s="13">
        <f t="shared" si="86"/>
        <v>0.3</v>
      </c>
      <c r="Z82" s="13" t="str">
        <f t="shared" si="86"/>
        <v/>
      </c>
      <c r="AA82" s="13" t="str">
        <f t="shared" si="86"/>
        <v/>
      </c>
      <c r="AB82" s="13" t="str">
        <f t="shared" si="86"/>
        <v/>
      </c>
      <c r="AC82" s="13" t="str">
        <f t="shared" si="86"/>
        <v/>
      </c>
      <c r="AD82" s="13" t="str">
        <f t="shared" si="86"/>
        <v/>
      </c>
      <c r="AE82" s="13" t="str">
        <f t="shared" si="86"/>
        <v/>
      </c>
      <c r="AF82" s="13" t="str">
        <f t="shared" si="86"/>
        <v/>
      </c>
      <c r="AG82" s="13" t="str">
        <f t="shared" si="86"/>
        <v/>
      </c>
      <c r="AH82" s="14"/>
      <c r="AI82" s="13" t="str">
        <f t="shared" si="87"/>
        <v/>
      </c>
      <c r="AJ82" s="13" t="str">
        <f t="shared" si="87"/>
        <v/>
      </c>
      <c r="AK82" s="13" t="str">
        <f t="shared" si="87"/>
        <v/>
      </c>
      <c r="AL82" s="13" t="str">
        <f t="shared" si="87"/>
        <v/>
      </c>
      <c r="AM82" s="13" t="str">
        <f t="shared" si="87"/>
        <v/>
      </c>
      <c r="AN82" s="13" t="str">
        <f t="shared" si="87"/>
        <v/>
      </c>
      <c r="AO82" s="13" t="str">
        <f t="shared" si="87"/>
        <v/>
      </c>
      <c r="AP82" s="13" t="str">
        <f t="shared" si="87"/>
        <v/>
      </c>
      <c r="AQ82" s="13" t="str">
        <f t="shared" si="87"/>
        <v/>
      </c>
      <c r="AR82" s="13" t="str">
        <f t="shared" si="87"/>
        <v/>
      </c>
    </row>
    <row r="83" spans="1:44" ht="14.1" customHeight="1" x14ac:dyDescent="0.25">
      <c r="A83" s="17">
        <v>1054</v>
      </c>
      <c r="B83" s="17" t="s">
        <v>14</v>
      </c>
      <c r="C83" s="17" t="s">
        <v>39</v>
      </c>
      <c r="D83" s="17">
        <v>1</v>
      </c>
      <c r="E83" s="34">
        <f t="shared" si="76"/>
        <v>0.3</v>
      </c>
      <c r="F83" s="35">
        <f t="shared" si="77"/>
        <v>0.3</v>
      </c>
      <c r="G83" s="17">
        <v>0.16</v>
      </c>
      <c r="H83" s="18">
        <v>0.16</v>
      </c>
      <c r="I83" s="22">
        <f t="shared" si="5"/>
        <v>1054</v>
      </c>
      <c r="K83" s="27">
        <f t="shared" si="78"/>
        <v>8</v>
      </c>
      <c r="L83" s="7" t="str">
        <f t="shared" si="79"/>
        <v>A500C</v>
      </c>
      <c r="M83" s="26">
        <f t="shared" si="80"/>
        <v>770</v>
      </c>
      <c r="N83" s="26">
        <f t="shared" si="81"/>
        <v>1</v>
      </c>
      <c r="P83" s="6" t="str">
        <f t="shared" si="82"/>
        <v>8 А500C L = 770</v>
      </c>
      <c r="R83" s="6">
        <f t="shared" si="83"/>
        <v>0.39500000000000002</v>
      </c>
      <c r="T83" s="6">
        <f t="shared" si="84"/>
        <v>0.3</v>
      </c>
      <c r="U83" s="6">
        <f t="shared" si="85"/>
        <v>0.3</v>
      </c>
      <c r="X83" s="13" t="str">
        <f t="shared" si="86"/>
        <v/>
      </c>
      <c r="Y83" s="13">
        <f t="shared" si="86"/>
        <v>0.3</v>
      </c>
      <c r="Z83" s="13" t="str">
        <f t="shared" si="86"/>
        <v/>
      </c>
      <c r="AA83" s="13" t="str">
        <f t="shared" si="86"/>
        <v/>
      </c>
      <c r="AB83" s="13" t="str">
        <f t="shared" si="86"/>
        <v/>
      </c>
      <c r="AC83" s="13" t="str">
        <f t="shared" si="86"/>
        <v/>
      </c>
      <c r="AD83" s="13" t="str">
        <f t="shared" si="86"/>
        <v/>
      </c>
      <c r="AE83" s="13" t="str">
        <f t="shared" si="86"/>
        <v/>
      </c>
      <c r="AF83" s="13" t="str">
        <f t="shared" si="86"/>
        <v/>
      </c>
      <c r="AG83" s="13" t="str">
        <f t="shared" si="86"/>
        <v/>
      </c>
      <c r="AH83" s="14"/>
      <c r="AI83" s="13" t="str">
        <f t="shared" si="87"/>
        <v/>
      </c>
      <c r="AJ83" s="13" t="str">
        <f t="shared" si="87"/>
        <v/>
      </c>
      <c r="AK83" s="13" t="str">
        <f t="shared" si="87"/>
        <v/>
      </c>
      <c r="AL83" s="13" t="str">
        <f t="shared" si="87"/>
        <v/>
      </c>
      <c r="AM83" s="13" t="str">
        <f t="shared" si="87"/>
        <v/>
      </c>
      <c r="AN83" s="13" t="str">
        <f t="shared" si="87"/>
        <v/>
      </c>
      <c r="AO83" s="13" t="str">
        <f t="shared" si="87"/>
        <v/>
      </c>
      <c r="AP83" s="13" t="str">
        <f t="shared" si="87"/>
        <v/>
      </c>
      <c r="AQ83" s="13" t="str">
        <f t="shared" si="87"/>
        <v/>
      </c>
      <c r="AR83" s="13" t="str">
        <f t="shared" si="87"/>
        <v/>
      </c>
    </row>
    <row r="84" spans="1:44" ht="14.1" customHeight="1" x14ac:dyDescent="0.25">
      <c r="A84" s="17">
        <v>1054</v>
      </c>
      <c r="B84" s="17" t="s">
        <v>14</v>
      </c>
      <c r="C84" s="17" t="s">
        <v>39</v>
      </c>
      <c r="D84" s="17">
        <v>1</v>
      </c>
      <c r="E84" s="34">
        <f t="shared" si="76"/>
        <v>0.3</v>
      </c>
      <c r="F84" s="35">
        <f t="shared" si="77"/>
        <v>0.3</v>
      </c>
      <c r="G84" s="17">
        <v>0.16</v>
      </c>
      <c r="H84" s="18">
        <v>0.16</v>
      </c>
      <c r="I84" s="22">
        <f t="shared" si="5"/>
        <v>1054</v>
      </c>
      <c r="K84" s="27">
        <f t="shared" si="78"/>
        <v>8</v>
      </c>
      <c r="L84" s="7" t="str">
        <f t="shared" si="79"/>
        <v>A500C</v>
      </c>
      <c r="M84" s="26">
        <f t="shared" si="80"/>
        <v>770</v>
      </c>
      <c r="N84" s="26">
        <f t="shared" si="81"/>
        <v>1</v>
      </c>
      <c r="P84" s="6" t="str">
        <f t="shared" si="82"/>
        <v>8 А500C L = 770</v>
      </c>
      <c r="R84" s="6">
        <f t="shared" si="83"/>
        <v>0.39500000000000002</v>
      </c>
      <c r="T84" s="6">
        <f t="shared" si="84"/>
        <v>0.3</v>
      </c>
      <c r="U84" s="6">
        <f t="shared" si="85"/>
        <v>0.3</v>
      </c>
      <c r="X84" s="13" t="str">
        <f t="shared" si="86"/>
        <v/>
      </c>
      <c r="Y84" s="13">
        <f t="shared" si="86"/>
        <v>0.3</v>
      </c>
      <c r="Z84" s="13" t="str">
        <f t="shared" si="86"/>
        <v/>
      </c>
      <c r="AA84" s="13" t="str">
        <f t="shared" si="86"/>
        <v/>
      </c>
      <c r="AB84" s="13" t="str">
        <f t="shared" si="86"/>
        <v/>
      </c>
      <c r="AC84" s="13" t="str">
        <f t="shared" si="86"/>
        <v/>
      </c>
      <c r="AD84" s="13" t="str">
        <f t="shared" si="86"/>
        <v/>
      </c>
      <c r="AE84" s="13" t="str">
        <f t="shared" si="86"/>
        <v/>
      </c>
      <c r="AF84" s="13" t="str">
        <f t="shared" si="86"/>
        <v/>
      </c>
      <c r="AG84" s="13" t="str">
        <f t="shared" si="86"/>
        <v/>
      </c>
      <c r="AH84" s="14"/>
      <c r="AI84" s="13" t="str">
        <f t="shared" si="87"/>
        <v/>
      </c>
      <c r="AJ84" s="13" t="str">
        <f t="shared" si="87"/>
        <v/>
      </c>
      <c r="AK84" s="13" t="str">
        <f t="shared" si="87"/>
        <v/>
      </c>
      <c r="AL84" s="13" t="str">
        <f t="shared" si="87"/>
        <v/>
      </c>
      <c r="AM84" s="13" t="str">
        <f t="shared" si="87"/>
        <v/>
      </c>
      <c r="AN84" s="13" t="str">
        <f t="shared" si="87"/>
        <v/>
      </c>
      <c r="AO84" s="13" t="str">
        <f t="shared" si="87"/>
        <v/>
      </c>
      <c r="AP84" s="13" t="str">
        <f t="shared" si="87"/>
        <v/>
      </c>
      <c r="AQ84" s="13" t="str">
        <f t="shared" si="87"/>
        <v/>
      </c>
      <c r="AR84" s="13" t="str">
        <f t="shared" si="87"/>
        <v/>
      </c>
    </row>
    <row r="85" spans="1:44" ht="14.1" customHeight="1" x14ac:dyDescent="0.25">
      <c r="A85" s="17">
        <v>1054</v>
      </c>
      <c r="B85" s="17" t="s">
        <v>14</v>
      </c>
      <c r="C85" s="17" t="s">
        <v>39</v>
      </c>
      <c r="D85" s="17">
        <v>1</v>
      </c>
      <c r="E85" s="34">
        <f t="shared" si="76"/>
        <v>0.3</v>
      </c>
      <c r="F85" s="35">
        <f t="shared" si="77"/>
        <v>0.3</v>
      </c>
      <c r="G85" s="17">
        <v>0.16</v>
      </c>
      <c r="H85" s="18">
        <v>0.16</v>
      </c>
      <c r="I85" s="22">
        <f t="shared" si="5"/>
        <v>1054</v>
      </c>
      <c r="K85" s="27">
        <f t="shared" si="78"/>
        <v>8</v>
      </c>
      <c r="L85" s="7" t="str">
        <f t="shared" si="79"/>
        <v>A500C</v>
      </c>
      <c r="M85" s="26">
        <f t="shared" si="80"/>
        <v>770</v>
      </c>
      <c r="N85" s="26">
        <f t="shared" si="81"/>
        <v>1</v>
      </c>
      <c r="P85" s="6" t="str">
        <f t="shared" si="82"/>
        <v>8 А500C L = 770</v>
      </c>
      <c r="R85" s="6">
        <f t="shared" si="83"/>
        <v>0.39500000000000002</v>
      </c>
      <c r="T85" s="6">
        <f t="shared" si="84"/>
        <v>0.3</v>
      </c>
      <c r="U85" s="6">
        <f t="shared" si="85"/>
        <v>0.3</v>
      </c>
      <c r="X85" s="13" t="str">
        <f t="shared" si="86"/>
        <v/>
      </c>
      <c r="Y85" s="13">
        <f t="shared" si="86"/>
        <v>0.3</v>
      </c>
      <c r="Z85" s="13" t="str">
        <f t="shared" si="86"/>
        <v/>
      </c>
      <c r="AA85" s="13" t="str">
        <f t="shared" si="86"/>
        <v/>
      </c>
      <c r="AB85" s="13" t="str">
        <f t="shared" si="86"/>
        <v/>
      </c>
      <c r="AC85" s="13" t="str">
        <f t="shared" si="86"/>
        <v/>
      </c>
      <c r="AD85" s="13" t="str">
        <f t="shared" si="86"/>
        <v/>
      </c>
      <c r="AE85" s="13" t="str">
        <f t="shared" si="86"/>
        <v/>
      </c>
      <c r="AF85" s="13" t="str">
        <f t="shared" si="86"/>
        <v/>
      </c>
      <c r="AG85" s="13" t="str">
        <f t="shared" si="86"/>
        <v/>
      </c>
      <c r="AH85" s="14"/>
      <c r="AI85" s="13" t="str">
        <f t="shared" si="87"/>
        <v/>
      </c>
      <c r="AJ85" s="13" t="str">
        <f t="shared" si="87"/>
        <v/>
      </c>
      <c r="AK85" s="13" t="str">
        <f t="shared" si="87"/>
        <v/>
      </c>
      <c r="AL85" s="13" t="str">
        <f t="shared" si="87"/>
        <v/>
      </c>
      <c r="AM85" s="13" t="str">
        <f t="shared" si="87"/>
        <v/>
      </c>
      <c r="AN85" s="13" t="str">
        <f t="shared" si="87"/>
        <v/>
      </c>
      <c r="AO85" s="13" t="str">
        <f t="shared" si="87"/>
        <v/>
      </c>
      <c r="AP85" s="13" t="str">
        <f t="shared" si="87"/>
        <v/>
      </c>
      <c r="AQ85" s="13" t="str">
        <f t="shared" si="87"/>
        <v/>
      </c>
      <c r="AR85" s="13" t="str">
        <f t="shared" si="87"/>
        <v/>
      </c>
    </row>
    <row r="86" spans="1:44" ht="14.1" customHeight="1" x14ac:dyDescent="0.25">
      <c r="A86" s="17">
        <v>1054</v>
      </c>
      <c r="B86" s="17" t="s">
        <v>14</v>
      </c>
      <c r="C86" s="17" t="s">
        <v>39</v>
      </c>
      <c r="D86" s="17">
        <v>1</v>
      </c>
      <c r="E86" s="34">
        <f t="shared" si="76"/>
        <v>0.3</v>
      </c>
      <c r="F86" s="35">
        <f t="shared" si="77"/>
        <v>0.3</v>
      </c>
      <c r="G86" s="17">
        <v>0.16</v>
      </c>
      <c r="H86" s="18">
        <v>0.16</v>
      </c>
      <c r="I86" s="22">
        <f t="shared" si="5"/>
        <v>1054</v>
      </c>
      <c r="K86" s="27">
        <f t="shared" si="78"/>
        <v>8</v>
      </c>
      <c r="L86" s="7" t="str">
        <f t="shared" si="79"/>
        <v>A500C</v>
      </c>
      <c r="M86" s="26">
        <f t="shared" si="80"/>
        <v>770</v>
      </c>
      <c r="N86" s="26">
        <f t="shared" si="81"/>
        <v>1</v>
      </c>
      <c r="P86" s="6" t="str">
        <f t="shared" si="82"/>
        <v>8 А500C L = 770</v>
      </c>
      <c r="R86" s="6">
        <f t="shared" si="83"/>
        <v>0.39500000000000002</v>
      </c>
      <c r="T86" s="6">
        <f t="shared" si="84"/>
        <v>0.3</v>
      </c>
      <c r="U86" s="6">
        <f t="shared" si="85"/>
        <v>0.3</v>
      </c>
      <c r="X86" s="13" t="str">
        <f t="shared" si="86"/>
        <v/>
      </c>
      <c r="Y86" s="13">
        <f t="shared" si="86"/>
        <v>0.3</v>
      </c>
      <c r="Z86" s="13" t="str">
        <f t="shared" si="86"/>
        <v/>
      </c>
      <c r="AA86" s="13" t="str">
        <f t="shared" si="86"/>
        <v/>
      </c>
      <c r="AB86" s="13" t="str">
        <f t="shared" si="86"/>
        <v/>
      </c>
      <c r="AC86" s="13" t="str">
        <f t="shared" si="86"/>
        <v/>
      </c>
      <c r="AD86" s="13" t="str">
        <f t="shared" si="86"/>
        <v/>
      </c>
      <c r="AE86" s="13" t="str">
        <f t="shared" si="86"/>
        <v/>
      </c>
      <c r="AF86" s="13" t="str">
        <f t="shared" si="86"/>
        <v/>
      </c>
      <c r="AG86" s="13" t="str">
        <f t="shared" si="86"/>
        <v/>
      </c>
      <c r="AH86" s="14"/>
      <c r="AI86" s="13" t="str">
        <f t="shared" si="87"/>
        <v/>
      </c>
      <c r="AJ86" s="13" t="str">
        <f t="shared" si="87"/>
        <v/>
      </c>
      <c r="AK86" s="13" t="str">
        <f t="shared" si="87"/>
        <v/>
      </c>
      <c r="AL86" s="13" t="str">
        <f t="shared" si="87"/>
        <v/>
      </c>
      <c r="AM86" s="13" t="str">
        <f t="shared" si="87"/>
        <v/>
      </c>
      <c r="AN86" s="13" t="str">
        <f t="shared" si="87"/>
        <v/>
      </c>
      <c r="AO86" s="13" t="str">
        <f t="shared" si="87"/>
        <v/>
      </c>
      <c r="AP86" s="13" t="str">
        <f t="shared" si="87"/>
        <v/>
      </c>
      <c r="AQ86" s="13" t="str">
        <f t="shared" si="87"/>
        <v/>
      </c>
      <c r="AR86" s="13" t="str">
        <f t="shared" si="87"/>
        <v/>
      </c>
    </row>
    <row r="87" spans="1:44" ht="14.1" customHeight="1" x14ac:dyDescent="0.25">
      <c r="A87" s="17">
        <v>1054</v>
      </c>
      <c r="B87" s="17" t="s">
        <v>14</v>
      </c>
      <c r="C87" s="17" t="s">
        <v>39</v>
      </c>
      <c r="D87" s="17">
        <v>1</v>
      </c>
      <c r="E87" s="34">
        <f t="shared" si="76"/>
        <v>0.3</v>
      </c>
      <c r="F87" s="35">
        <f t="shared" si="77"/>
        <v>0.3</v>
      </c>
      <c r="G87" s="17">
        <v>0.16</v>
      </c>
      <c r="H87" s="18">
        <v>0.16</v>
      </c>
      <c r="I87" s="22">
        <f t="shared" si="5"/>
        <v>1054</v>
      </c>
      <c r="K87" s="27">
        <f t="shared" si="78"/>
        <v>8</v>
      </c>
      <c r="L87" s="7" t="str">
        <f t="shared" si="79"/>
        <v>A500C</v>
      </c>
      <c r="M87" s="26">
        <f t="shared" si="80"/>
        <v>770</v>
      </c>
      <c r="N87" s="26">
        <f t="shared" si="81"/>
        <v>1</v>
      </c>
      <c r="P87" s="6" t="str">
        <f t="shared" si="82"/>
        <v>8 А500C L = 770</v>
      </c>
      <c r="R87" s="6">
        <f t="shared" si="83"/>
        <v>0.39500000000000002</v>
      </c>
      <c r="T87" s="6">
        <f t="shared" si="84"/>
        <v>0.3</v>
      </c>
      <c r="U87" s="6">
        <f t="shared" si="85"/>
        <v>0.3</v>
      </c>
      <c r="X87" s="13" t="str">
        <f t="shared" si="86"/>
        <v/>
      </c>
      <c r="Y87" s="13">
        <f t="shared" si="86"/>
        <v>0.3</v>
      </c>
      <c r="Z87" s="13" t="str">
        <f t="shared" si="86"/>
        <v/>
      </c>
      <c r="AA87" s="13" t="str">
        <f t="shared" si="86"/>
        <v/>
      </c>
      <c r="AB87" s="13" t="str">
        <f t="shared" si="86"/>
        <v/>
      </c>
      <c r="AC87" s="13" t="str">
        <f t="shared" si="86"/>
        <v/>
      </c>
      <c r="AD87" s="13" t="str">
        <f t="shared" si="86"/>
        <v/>
      </c>
      <c r="AE87" s="13" t="str">
        <f t="shared" si="86"/>
        <v/>
      </c>
      <c r="AF87" s="13" t="str">
        <f t="shared" si="86"/>
        <v/>
      </c>
      <c r="AG87" s="13" t="str">
        <f t="shared" si="86"/>
        <v/>
      </c>
      <c r="AH87" s="14"/>
      <c r="AI87" s="13" t="str">
        <f t="shared" si="87"/>
        <v/>
      </c>
      <c r="AJ87" s="13" t="str">
        <f t="shared" si="87"/>
        <v/>
      </c>
      <c r="AK87" s="13" t="str">
        <f t="shared" si="87"/>
        <v/>
      </c>
      <c r="AL87" s="13" t="str">
        <f t="shared" si="87"/>
        <v/>
      </c>
      <c r="AM87" s="13" t="str">
        <f t="shared" si="87"/>
        <v/>
      </c>
      <c r="AN87" s="13" t="str">
        <f t="shared" si="87"/>
        <v/>
      </c>
      <c r="AO87" s="13" t="str">
        <f t="shared" si="87"/>
        <v/>
      </c>
      <c r="AP87" s="13" t="str">
        <f t="shared" si="87"/>
        <v/>
      </c>
      <c r="AQ87" s="13" t="str">
        <f t="shared" si="87"/>
        <v/>
      </c>
      <c r="AR87" s="13" t="str">
        <f t="shared" si="87"/>
        <v/>
      </c>
    </row>
    <row r="88" spans="1:44" ht="14.1" customHeight="1" x14ac:dyDescent="0.25">
      <c r="A88" s="17">
        <v>1054</v>
      </c>
      <c r="B88" s="17" t="s">
        <v>14</v>
      </c>
      <c r="C88" s="17" t="s">
        <v>39</v>
      </c>
      <c r="D88" s="17">
        <v>1</v>
      </c>
      <c r="E88" s="34">
        <f t="shared" si="76"/>
        <v>0.3</v>
      </c>
      <c r="F88" s="35">
        <f t="shared" si="77"/>
        <v>0.3</v>
      </c>
      <c r="G88" s="17">
        <v>0.16</v>
      </c>
      <c r="H88" s="18">
        <v>0.16</v>
      </c>
      <c r="I88" s="22">
        <f t="shared" si="5"/>
        <v>1054</v>
      </c>
      <c r="K88" s="27">
        <f t="shared" si="78"/>
        <v>8</v>
      </c>
      <c r="L88" s="7" t="str">
        <f t="shared" si="79"/>
        <v>A500C</v>
      </c>
      <c r="M88" s="26">
        <f t="shared" si="80"/>
        <v>770</v>
      </c>
      <c r="N88" s="26">
        <f t="shared" si="81"/>
        <v>1</v>
      </c>
      <c r="P88" s="6" t="str">
        <f t="shared" si="82"/>
        <v>8 А500C L = 770</v>
      </c>
      <c r="R88" s="6">
        <f t="shared" si="83"/>
        <v>0.39500000000000002</v>
      </c>
      <c r="T88" s="6">
        <f t="shared" si="84"/>
        <v>0.3</v>
      </c>
      <c r="U88" s="6">
        <f t="shared" si="85"/>
        <v>0.3</v>
      </c>
      <c r="X88" s="13" t="str">
        <f t="shared" si="86"/>
        <v/>
      </c>
      <c r="Y88" s="13">
        <f t="shared" si="86"/>
        <v>0.3</v>
      </c>
      <c r="Z88" s="13" t="str">
        <f t="shared" si="86"/>
        <v/>
      </c>
      <c r="AA88" s="13" t="str">
        <f t="shared" si="86"/>
        <v/>
      </c>
      <c r="AB88" s="13" t="str">
        <f t="shared" si="86"/>
        <v/>
      </c>
      <c r="AC88" s="13" t="str">
        <f t="shared" si="86"/>
        <v/>
      </c>
      <c r="AD88" s="13" t="str">
        <f t="shared" si="86"/>
        <v/>
      </c>
      <c r="AE88" s="13" t="str">
        <f t="shared" si="86"/>
        <v/>
      </c>
      <c r="AF88" s="13" t="str">
        <f t="shared" si="86"/>
        <v/>
      </c>
      <c r="AG88" s="13" t="str">
        <f t="shared" si="86"/>
        <v/>
      </c>
      <c r="AH88" s="14"/>
      <c r="AI88" s="13" t="str">
        <f t="shared" si="87"/>
        <v/>
      </c>
      <c r="AJ88" s="13" t="str">
        <f t="shared" si="87"/>
        <v/>
      </c>
      <c r="AK88" s="13" t="str">
        <f t="shared" si="87"/>
        <v/>
      </c>
      <c r="AL88" s="13" t="str">
        <f t="shared" si="87"/>
        <v/>
      </c>
      <c r="AM88" s="13" t="str">
        <f t="shared" si="87"/>
        <v/>
      </c>
      <c r="AN88" s="13" t="str">
        <f t="shared" si="87"/>
        <v/>
      </c>
      <c r="AO88" s="13" t="str">
        <f t="shared" si="87"/>
        <v/>
      </c>
      <c r="AP88" s="13" t="str">
        <f t="shared" si="87"/>
        <v/>
      </c>
      <c r="AQ88" s="13" t="str">
        <f t="shared" si="87"/>
        <v/>
      </c>
      <c r="AR88" s="13" t="str">
        <f t="shared" si="87"/>
        <v/>
      </c>
    </row>
    <row r="89" spans="1:44" ht="14.1" customHeight="1" x14ac:dyDescent="0.25">
      <c r="A89" s="17">
        <v>1054</v>
      </c>
      <c r="B89" s="17" t="s">
        <v>14</v>
      </c>
      <c r="C89" s="17" t="s">
        <v>39</v>
      </c>
      <c r="D89" s="17">
        <v>1</v>
      </c>
      <c r="E89" s="34">
        <f t="shared" si="76"/>
        <v>0.3</v>
      </c>
      <c r="F89" s="35">
        <f t="shared" si="77"/>
        <v>0.3</v>
      </c>
      <c r="G89" s="17">
        <v>0.16</v>
      </c>
      <c r="H89" s="18">
        <v>0.16</v>
      </c>
      <c r="I89" s="22">
        <f t="shared" si="5"/>
        <v>1054</v>
      </c>
      <c r="K89" s="27">
        <f t="shared" si="78"/>
        <v>8</v>
      </c>
      <c r="L89" s="7" t="str">
        <f t="shared" si="79"/>
        <v>A500C</v>
      </c>
      <c r="M89" s="26">
        <f t="shared" si="80"/>
        <v>770</v>
      </c>
      <c r="N89" s="26">
        <f t="shared" si="81"/>
        <v>1</v>
      </c>
      <c r="P89" s="6" t="str">
        <f t="shared" si="82"/>
        <v>8 А500C L = 770</v>
      </c>
      <c r="R89" s="6">
        <f t="shared" si="83"/>
        <v>0.39500000000000002</v>
      </c>
      <c r="T89" s="6">
        <f t="shared" si="84"/>
        <v>0.3</v>
      </c>
      <c r="U89" s="6">
        <f t="shared" si="85"/>
        <v>0.3</v>
      </c>
      <c r="X89" s="13" t="str">
        <f t="shared" si="86"/>
        <v/>
      </c>
      <c r="Y89" s="13">
        <f t="shared" si="86"/>
        <v>0.3</v>
      </c>
      <c r="Z89" s="13" t="str">
        <f t="shared" si="86"/>
        <v/>
      </c>
      <c r="AA89" s="13" t="str">
        <f t="shared" si="86"/>
        <v/>
      </c>
      <c r="AB89" s="13" t="str">
        <f t="shared" si="86"/>
        <v/>
      </c>
      <c r="AC89" s="13" t="str">
        <f t="shared" si="86"/>
        <v/>
      </c>
      <c r="AD89" s="13" t="str">
        <f t="shared" si="86"/>
        <v/>
      </c>
      <c r="AE89" s="13" t="str">
        <f t="shared" si="86"/>
        <v/>
      </c>
      <c r="AF89" s="13" t="str">
        <f t="shared" si="86"/>
        <v/>
      </c>
      <c r="AG89" s="13" t="str">
        <f t="shared" si="86"/>
        <v/>
      </c>
      <c r="AH89" s="14"/>
      <c r="AI89" s="13" t="str">
        <f t="shared" si="87"/>
        <v/>
      </c>
      <c r="AJ89" s="13" t="str">
        <f t="shared" si="87"/>
        <v/>
      </c>
      <c r="AK89" s="13" t="str">
        <f t="shared" si="87"/>
        <v/>
      </c>
      <c r="AL89" s="13" t="str">
        <f t="shared" si="87"/>
        <v/>
      </c>
      <c r="AM89" s="13" t="str">
        <f t="shared" si="87"/>
        <v/>
      </c>
      <c r="AN89" s="13" t="str">
        <f t="shared" si="87"/>
        <v/>
      </c>
      <c r="AO89" s="13" t="str">
        <f t="shared" si="87"/>
        <v/>
      </c>
      <c r="AP89" s="13" t="str">
        <f t="shared" si="87"/>
        <v/>
      </c>
      <c r="AQ89" s="13" t="str">
        <f t="shared" si="87"/>
        <v/>
      </c>
      <c r="AR89" s="13" t="str">
        <f t="shared" si="87"/>
        <v/>
      </c>
    </row>
    <row r="90" spans="1:44" ht="14.1" customHeight="1" x14ac:dyDescent="0.25">
      <c r="A90" s="17">
        <v>1054</v>
      </c>
      <c r="B90" s="17" t="s">
        <v>14</v>
      </c>
      <c r="C90" s="17" t="s">
        <v>39</v>
      </c>
      <c r="D90" s="17">
        <v>1</v>
      </c>
      <c r="E90" s="34">
        <f t="shared" si="76"/>
        <v>0.3</v>
      </c>
      <c r="F90" s="35">
        <f t="shared" si="77"/>
        <v>0.3</v>
      </c>
      <c r="G90" s="17">
        <v>0.16</v>
      </c>
      <c r="H90" s="18">
        <v>0.16</v>
      </c>
      <c r="I90" s="22">
        <f t="shared" ref="I90:I101" si="88">A90</f>
        <v>1054</v>
      </c>
      <c r="K90" s="27">
        <f t="shared" si="78"/>
        <v>8</v>
      </c>
      <c r="L90" s="7" t="str">
        <f t="shared" si="79"/>
        <v>A500C</v>
      </c>
      <c r="M90" s="26">
        <f t="shared" si="80"/>
        <v>770</v>
      </c>
      <c r="N90" s="26">
        <f t="shared" si="81"/>
        <v>1</v>
      </c>
      <c r="P90" s="6" t="str">
        <f t="shared" si="82"/>
        <v>8 А500C L = 770</v>
      </c>
      <c r="R90" s="6">
        <f t="shared" si="83"/>
        <v>0.39500000000000002</v>
      </c>
      <c r="T90" s="6">
        <f t="shared" si="84"/>
        <v>0.3</v>
      </c>
      <c r="U90" s="6">
        <f t="shared" si="85"/>
        <v>0.3</v>
      </c>
      <c r="X90" s="13" t="str">
        <f t="shared" si="86"/>
        <v/>
      </c>
      <c r="Y90" s="13">
        <f t="shared" si="86"/>
        <v>0.3</v>
      </c>
      <c r="Z90" s="13" t="str">
        <f t="shared" si="86"/>
        <v/>
      </c>
      <c r="AA90" s="13" t="str">
        <f t="shared" si="86"/>
        <v/>
      </c>
      <c r="AB90" s="13" t="str">
        <f t="shared" si="86"/>
        <v/>
      </c>
      <c r="AC90" s="13" t="str">
        <f t="shared" si="86"/>
        <v/>
      </c>
      <c r="AD90" s="13" t="str">
        <f t="shared" si="86"/>
        <v/>
      </c>
      <c r="AE90" s="13" t="str">
        <f t="shared" si="86"/>
        <v/>
      </c>
      <c r="AF90" s="13" t="str">
        <f t="shared" si="86"/>
        <v/>
      </c>
      <c r="AG90" s="13" t="str">
        <f t="shared" si="86"/>
        <v/>
      </c>
      <c r="AH90" s="14"/>
      <c r="AI90" s="13" t="str">
        <f t="shared" si="87"/>
        <v/>
      </c>
      <c r="AJ90" s="13" t="str">
        <f t="shared" si="87"/>
        <v/>
      </c>
      <c r="AK90" s="13" t="str">
        <f t="shared" si="87"/>
        <v/>
      </c>
      <c r="AL90" s="13" t="str">
        <f t="shared" si="87"/>
        <v/>
      </c>
      <c r="AM90" s="13" t="str">
        <f t="shared" si="87"/>
        <v/>
      </c>
      <c r="AN90" s="13" t="str">
        <f t="shared" si="87"/>
        <v/>
      </c>
      <c r="AO90" s="13" t="str">
        <f t="shared" si="87"/>
        <v/>
      </c>
      <c r="AP90" s="13" t="str">
        <f t="shared" si="87"/>
        <v/>
      </c>
      <c r="AQ90" s="13" t="str">
        <f t="shared" si="87"/>
        <v/>
      </c>
      <c r="AR90" s="13" t="str">
        <f t="shared" si="87"/>
        <v/>
      </c>
    </row>
    <row r="91" spans="1:44" ht="14.1" customHeight="1" x14ac:dyDescent="0.25">
      <c r="A91" s="17">
        <v>1054</v>
      </c>
      <c r="B91" s="17" t="s">
        <v>14</v>
      </c>
      <c r="C91" s="17" t="s">
        <v>39</v>
      </c>
      <c r="D91" s="17">
        <v>1</v>
      </c>
      <c r="E91" s="34">
        <f t="shared" si="76"/>
        <v>0.3</v>
      </c>
      <c r="F91" s="35">
        <f t="shared" si="77"/>
        <v>0.3</v>
      </c>
      <c r="G91" s="17">
        <v>0.16</v>
      </c>
      <c r="H91" s="18">
        <v>0.16</v>
      </c>
      <c r="I91" s="22">
        <f t="shared" si="88"/>
        <v>1054</v>
      </c>
      <c r="K91" s="27">
        <f t="shared" si="78"/>
        <v>8</v>
      </c>
      <c r="L91" s="7" t="str">
        <f t="shared" si="79"/>
        <v>A500C</v>
      </c>
      <c r="M91" s="26">
        <f t="shared" si="80"/>
        <v>770</v>
      </c>
      <c r="N91" s="26">
        <f t="shared" si="81"/>
        <v>1</v>
      </c>
      <c r="P91" s="6" t="str">
        <f t="shared" si="82"/>
        <v>8 А500C L = 770</v>
      </c>
      <c r="R91" s="6">
        <f t="shared" si="83"/>
        <v>0.39500000000000002</v>
      </c>
      <c r="T91" s="6">
        <f t="shared" si="84"/>
        <v>0.3</v>
      </c>
      <c r="U91" s="6">
        <f t="shared" si="85"/>
        <v>0.3</v>
      </c>
      <c r="X91" s="13" t="str">
        <f t="shared" si="86"/>
        <v/>
      </c>
      <c r="Y91" s="13">
        <f t="shared" si="86"/>
        <v>0.3</v>
      </c>
      <c r="Z91" s="13" t="str">
        <f t="shared" si="86"/>
        <v/>
      </c>
      <c r="AA91" s="13" t="str">
        <f t="shared" si="86"/>
        <v/>
      </c>
      <c r="AB91" s="13" t="str">
        <f t="shared" si="86"/>
        <v/>
      </c>
      <c r="AC91" s="13" t="str">
        <f t="shared" si="86"/>
        <v/>
      </c>
      <c r="AD91" s="13" t="str">
        <f t="shared" si="86"/>
        <v/>
      </c>
      <c r="AE91" s="13" t="str">
        <f t="shared" si="86"/>
        <v/>
      </c>
      <c r="AF91" s="13" t="str">
        <f t="shared" si="86"/>
        <v/>
      </c>
      <c r="AG91" s="13" t="str">
        <f t="shared" si="86"/>
        <v/>
      </c>
      <c r="AH91" s="14"/>
      <c r="AI91" s="13" t="str">
        <f t="shared" si="87"/>
        <v/>
      </c>
      <c r="AJ91" s="13" t="str">
        <f t="shared" si="87"/>
        <v/>
      </c>
      <c r="AK91" s="13" t="str">
        <f t="shared" si="87"/>
        <v/>
      </c>
      <c r="AL91" s="13" t="str">
        <f t="shared" si="87"/>
        <v/>
      </c>
      <c r="AM91" s="13" t="str">
        <f t="shared" si="87"/>
        <v/>
      </c>
      <c r="AN91" s="13" t="str">
        <f t="shared" si="87"/>
        <v/>
      </c>
      <c r="AO91" s="13" t="str">
        <f t="shared" si="87"/>
        <v/>
      </c>
      <c r="AP91" s="13" t="str">
        <f t="shared" si="87"/>
        <v/>
      </c>
      <c r="AQ91" s="13" t="str">
        <f t="shared" si="87"/>
        <v/>
      </c>
      <c r="AR91" s="13" t="str">
        <f t="shared" si="87"/>
        <v/>
      </c>
    </row>
    <row r="92" spans="1:44" ht="14.1" customHeight="1" x14ac:dyDescent="0.25">
      <c r="A92" s="17">
        <v>1054</v>
      </c>
      <c r="B92" s="17" t="s">
        <v>14</v>
      </c>
      <c r="C92" s="17" t="s">
        <v>39</v>
      </c>
      <c r="D92" s="17">
        <v>1</v>
      </c>
      <c r="E92" s="34">
        <f t="shared" si="76"/>
        <v>0.3</v>
      </c>
      <c r="F92" s="35">
        <f t="shared" si="77"/>
        <v>0.3</v>
      </c>
      <c r="G92" s="17">
        <v>0.16</v>
      </c>
      <c r="H92" s="18">
        <v>0.16</v>
      </c>
      <c r="I92" s="22">
        <f t="shared" si="88"/>
        <v>1054</v>
      </c>
      <c r="K92" s="27">
        <f t="shared" si="78"/>
        <v>8</v>
      </c>
      <c r="L92" s="7" t="str">
        <f t="shared" si="79"/>
        <v>A500C</v>
      </c>
      <c r="M92" s="26">
        <f t="shared" si="80"/>
        <v>770</v>
      </c>
      <c r="N92" s="26">
        <f t="shared" si="81"/>
        <v>1</v>
      </c>
      <c r="P92" s="6" t="str">
        <f t="shared" si="82"/>
        <v>8 А500C L = 770</v>
      </c>
      <c r="R92" s="6">
        <f t="shared" si="83"/>
        <v>0.39500000000000002</v>
      </c>
      <c r="T92" s="6">
        <f t="shared" si="84"/>
        <v>0.3</v>
      </c>
      <c r="U92" s="6">
        <f t="shared" si="85"/>
        <v>0.3</v>
      </c>
      <c r="X92" s="13" t="str">
        <f t="shared" si="86"/>
        <v/>
      </c>
      <c r="Y92" s="13">
        <f t="shared" si="86"/>
        <v>0.3</v>
      </c>
      <c r="Z92" s="13" t="str">
        <f t="shared" si="86"/>
        <v/>
      </c>
      <c r="AA92" s="13" t="str">
        <f t="shared" si="86"/>
        <v/>
      </c>
      <c r="AB92" s="13" t="str">
        <f t="shared" si="86"/>
        <v/>
      </c>
      <c r="AC92" s="13" t="str">
        <f t="shared" si="86"/>
        <v/>
      </c>
      <c r="AD92" s="13" t="str">
        <f t="shared" si="86"/>
        <v/>
      </c>
      <c r="AE92" s="13" t="str">
        <f t="shared" si="86"/>
        <v/>
      </c>
      <c r="AF92" s="13" t="str">
        <f t="shared" si="86"/>
        <v/>
      </c>
      <c r="AG92" s="13" t="str">
        <f t="shared" si="86"/>
        <v/>
      </c>
      <c r="AH92" s="14"/>
      <c r="AI92" s="13" t="str">
        <f t="shared" si="87"/>
        <v/>
      </c>
      <c r="AJ92" s="13" t="str">
        <f t="shared" si="87"/>
        <v/>
      </c>
      <c r="AK92" s="13" t="str">
        <f t="shared" si="87"/>
        <v/>
      </c>
      <c r="AL92" s="13" t="str">
        <f t="shared" si="87"/>
        <v/>
      </c>
      <c r="AM92" s="13" t="str">
        <f t="shared" si="87"/>
        <v/>
      </c>
      <c r="AN92" s="13" t="str">
        <f t="shared" si="87"/>
        <v/>
      </c>
      <c r="AO92" s="13" t="str">
        <f t="shared" si="87"/>
        <v/>
      </c>
      <c r="AP92" s="13" t="str">
        <f t="shared" si="87"/>
        <v/>
      </c>
      <c r="AQ92" s="13" t="str">
        <f t="shared" si="87"/>
        <v/>
      </c>
      <c r="AR92" s="13" t="str">
        <f t="shared" si="87"/>
        <v/>
      </c>
    </row>
    <row r="93" spans="1:44" ht="14.1" customHeight="1" x14ac:dyDescent="0.25">
      <c r="A93" s="17">
        <v>1054</v>
      </c>
      <c r="B93" s="17" t="s">
        <v>14</v>
      </c>
      <c r="C93" s="17" t="s">
        <v>39</v>
      </c>
      <c r="D93" s="17">
        <v>1</v>
      </c>
      <c r="E93" s="34">
        <f t="shared" si="76"/>
        <v>0.3</v>
      </c>
      <c r="F93" s="35">
        <f t="shared" si="77"/>
        <v>0.3</v>
      </c>
      <c r="G93" s="17">
        <v>0.16</v>
      </c>
      <c r="H93" s="18">
        <v>0.16</v>
      </c>
      <c r="I93" s="22">
        <f t="shared" si="88"/>
        <v>1054</v>
      </c>
      <c r="K93" s="27">
        <f t="shared" si="78"/>
        <v>8</v>
      </c>
      <c r="L93" s="7" t="str">
        <f t="shared" si="79"/>
        <v>A500C</v>
      </c>
      <c r="M93" s="26">
        <f t="shared" si="80"/>
        <v>770</v>
      </c>
      <c r="N93" s="26">
        <f t="shared" si="81"/>
        <v>1</v>
      </c>
      <c r="P93" s="6" t="str">
        <f t="shared" si="82"/>
        <v>8 А500C L = 770</v>
      </c>
      <c r="R93" s="6">
        <f t="shared" si="83"/>
        <v>0.39500000000000002</v>
      </c>
      <c r="T93" s="6">
        <f t="shared" si="84"/>
        <v>0.3</v>
      </c>
      <c r="U93" s="6">
        <f t="shared" si="85"/>
        <v>0.3</v>
      </c>
      <c r="X93" s="13" t="str">
        <f t="shared" si="86"/>
        <v/>
      </c>
      <c r="Y93" s="13">
        <f t="shared" si="86"/>
        <v>0.3</v>
      </c>
      <c r="Z93" s="13" t="str">
        <f t="shared" si="86"/>
        <v/>
      </c>
      <c r="AA93" s="13" t="str">
        <f t="shared" si="86"/>
        <v/>
      </c>
      <c r="AB93" s="13" t="str">
        <f t="shared" si="86"/>
        <v/>
      </c>
      <c r="AC93" s="13" t="str">
        <f t="shared" si="86"/>
        <v/>
      </c>
      <c r="AD93" s="13" t="str">
        <f t="shared" si="86"/>
        <v/>
      </c>
      <c r="AE93" s="13" t="str">
        <f t="shared" si="86"/>
        <v/>
      </c>
      <c r="AF93" s="13" t="str">
        <f t="shared" si="86"/>
        <v/>
      </c>
      <c r="AG93" s="13" t="str">
        <f t="shared" si="86"/>
        <v/>
      </c>
      <c r="AH93" s="14"/>
      <c r="AI93" s="13" t="str">
        <f t="shared" si="87"/>
        <v/>
      </c>
      <c r="AJ93" s="13" t="str">
        <f t="shared" si="87"/>
        <v/>
      </c>
      <c r="AK93" s="13" t="str">
        <f t="shared" si="87"/>
        <v/>
      </c>
      <c r="AL93" s="13" t="str">
        <f t="shared" si="87"/>
        <v/>
      </c>
      <c r="AM93" s="13" t="str">
        <f t="shared" si="87"/>
        <v/>
      </c>
      <c r="AN93" s="13" t="str">
        <f t="shared" si="87"/>
        <v/>
      </c>
      <c r="AO93" s="13" t="str">
        <f t="shared" si="87"/>
        <v/>
      </c>
      <c r="AP93" s="13" t="str">
        <f t="shared" si="87"/>
        <v/>
      </c>
      <c r="AQ93" s="13" t="str">
        <f t="shared" si="87"/>
        <v/>
      </c>
      <c r="AR93" s="13" t="str">
        <f t="shared" si="87"/>
        <v/>
      </c>
    </row>
    <row r="94" spans="1:44" ht="14.1" customHeight="1" x14ac:dyDescent="0.25">
      <c r="A94" s="17">
        <v>1054</v>
      </c>
      <c r="B94" s="17" t="s">
        <v>14</v>
      </c>
      <c r="C94" s="17" t="s">
        <v>39</v>
      </c>
      <c r="D94" s="17">
        <v>1</v>
      </c>
      <c r="E94" s="34">
        <f t="shared" si="76"/>
        <v>0.3</v>
      </c>
      <c r="F94" s="35">
        <f t="shared" si="77"/>
        <v>0.3</v>
      </c>
      <c r="G94" s="17">
        <v>0.16</v>
      </c>
      <c r="H94" s="18">
        <v>0.16</v>
      </c>
      <c r="I94" s="22">
        <f t="shared" si="88"/>
        <v>1054</v>
      </c>
      <c r="K94" s="27">
        <f t="shared" si="78"/>
        <v>8</v>
      </c>
      <c r="L94" s="7" t="str">
        <f t="shared" si="79"/>
        <v>A500C</v>
      </c>
      <c r="M94" s="26">
        <f t="shared" si="80"/>
        <v>770</v>
      </c>
      <c r="N94" s="26">
        <f t="shared" si="81"/>
        <v>1</v>
      </c>
      <c r="P94" s="6" t="str">
        <f t="shared" si="82"/>
        <v>8 А500C L = 770</v>
      </c>
      <c r="R94" s="6">
        <f t="shared" si="83"/>
        <v>0.39500000000000002</v>
      </c>
      <c r="T94" s="6">
        <f t="shared" si="84"/>
        <v>0.3</v>
      </c>
      <c r="U94" s="6">
        <f t="shared" si="85"/>
        <v>0.3</v>
      </c>
      <c r="X94" s="13" t="str">
        <f t="shared" si="86"/>
        <v/>
      </c>
      <c r="Y94" s="13">
        <f t="shared" si="86"/>
        <v>0.3</v>
      </c>
      <c r="Z94" s="13" t="str">
        <f t="shared" si="86"/>
        <v/>
      </c>
      <c r="AA94" s="13" t="str">
        <f t="shared" si="86"/>
        <v/>
      </c>
      <c r="AB94" s="13" t="str">
        <f t="shared" si="86"/>
        <v/>
      </c>
      <c r="AC94" s="13" t="str">
        <f t="shared" si="86"/>
        <v/>
      </c>
      <c r="AD94" s="13" t="str">
        <f t="shared" si="86"/>
        <v/>
      </c>
      <c r="AE94" s="13" t="str">
        <f t="shared" si="86"/>
        <v/>
      </c>
      <c r="AF94" s="13" t="str">
        <f t="shared" si="86"/>
        <v/>
      </c>
      <c r="AG94" s="13" t="str">
        <f t="shared" si="86"/>
        <v/>
      </c>
      <c r="AH94" s="14"/>
      <c r="AI94" s="13" t="str">
        <f t="shared" si="87"/>
        <v/>
      </c>
      <c r="AJ94" s="13" t="str">
        <f t="shared" si="87"/>
        <v/>
      </c>
      <c r="AK94" s="13" t="str">
        <f t="shared" si="87"/>
        <v/>
      </c>
      <c r="AL94" s="13" t="str">
        <f t="shared" si="87"/>
        <v/>
      </c>
      <c r="AM94" s="13" t="str">
        <f t="shared" si="87"/>
        <v/>
      </c>
      <c r="AN94" s="13" t="str">
        <f t="shared" si="87"/>
        <v/>
      </c>
      <c r="AO94" s="13" t="str">
        <f t="shared" si="87"/>
        <v/>
      </c>
      <c r="AP94" s="13" t="str">
        <f t="shared" si="87"/>
        <v/>
      </c>
      <c r="AQ94" s="13" t="str">
        <f t="shared" si="87"/>
        <v/>
      </c>
      <c r="AR94" s="13" t="str">
        <f t="shared" si="87"/>
        <v/>
      </c>
    </row>
    <row r="95" spans="1:44" ht="14.1" customHeight="1" x14ac:dyDescent="0.25">
      <c r="A95" s="17">
        <v>1054</v>
      </c>
      <c r="B95" s="17" t="s">
        <v>14</v>
      </c>
      <c r="C95" s="17" t="s">
        <v>39</v>
      </c>
      <c r="D95" s="17">
        <v>1</v>
      </c>
      <c r="E95" s="34">
        <f t="shared" si="76"/>
        <v>0.3</v>
      </c>
      <c r="F95" s="35">
        <f t="shared" si="77"/>
        <v>0.3</v>
      </c>
      <c r="G95" s="17">
        <v>0.16</v>
      </c>
      <c r="H95" s="18">
        <v>0.16</v>
      </c>
      <c r="I95" s="22">
        <f t="shared" si="88"/>
        <v>1054</v>
      </c>
      <c r="K95" s="27">
        <f t="shared" si="78"/>
        <v>8</v>
      </c>
      <c r="L95" s="7" t="str">
        <f t="shared" si="79"/>
        <v>A500C</v>
      </c>
      <c r="M95" s="26">
        <f t="shared" si="80"/>
        <v>770</v>
      </c>
      <c r="N95" s="26">
        <f t="shared" si="81"/>
        <v>1</v>
      </c>
      <c r="P95" s="6" t="str">
        <f t="shared" si="82"/>
        <v>8 А500C L = 770</v>
      </c>
      <c r="R95" s="6">
        <f t="shared" si="83"/>
        <v>0.39500000000000002</v>
      </c>
      <c r="T95" s="6">
        <f t="shared" si="84"/>
        <v>0.3</v>
      </c>
      <c r="U95" s="6">
        <f t="shared" si="85"/>
        <v>0.3</v>
      </c>
      <c r="X95" s="13" t="str">
        <f t="shared" si="86"/>
        <v/>
      </c>
      <c r="Y95" s="13">
        <f t="shared" si="86"/>
        <v>0.3</v>
      </c>
      <c r="Z95" s="13" t="str">
        <f t="shared" si="86"/>
        <v/>
      </c>
      <c r="AA95" s="13" t="str">
        <f t="shared" si="86"/>
        <v/>
      </c>
      <c r="AB95" s="13" t="str">
        <f t="shared" si="86"/>
        <v/>
      </c>
      <c r="AC95" s="13" t="str">
        <f t="shared" si="86"/>
        <v/>
      </c>
      <c r="AD95" s="13" t="str">
        <f t="shared" si="86"/>
        <v/>
      </c>
      <c r="AE95" s="13" t="str">
        <f t="shared" si="86"/>
        <v/>
      </c>
      <c r="AF95" s="13" t="str">
        <f t="shared" si="86"/>
        <v/>
      </c>
      <c r="AG95" s="13" t="str">
        <f t="shared" si="86"/>
        <v/>
      </c>
      <c r="AH95" s="14"/>
      <c r="AI95" s="13" t="str">
        <f t="shared" si="87"/>
        <v/>
      </c>
      <c r="AJ95" s="13" t="str">
        <f t="shared" si="87"/>
        <v/>
      </c>
      <c r="AK95" s="13" t="str">
        <f t="shared" si="87"/>
        <v/>
      </c>
      <c r="AL95" s="13" t="str">
        <f t="shared" si="87"/>
        <v/>
      </c>
      <c r="AM95" s="13" t="str">
        <f t="shared" si="87"/>
        <v/>
      </c>
      <c r="AN95" s="13" t="str">
        <f t="shared" si="87"/>
        <v/>
      </c>
      <c r="AO95" s="13" t="str">
        <f t="shared" si="87"/>
        <v/>
      </c>
      <c r="AP95" s="13" t="str">
        <f t="shared" si="87"/>
        <v/>
      </c>
      <c r="AQ95" s="13" t="str">
        <f t="shared" si="87"/>
        <v/>
      </c>
      <c r="AR95" s="13" t="str">
        <f t="shared" si="87"/>
        <v/>
      </c>
    </row>
    <row r="96" spans="1:44" ht="14.1" customHeight="1" x14ac:dyDescent="0.25">
      <c r="A96" s="17">
        <v>1054</v>
      </c>
      <c r="B96" s="17" t="s">
        <v>14</v>
      </c>
      <c r="C96" s="17" t="s">
        <v>39</v>
      </c>
      <c r="D96" s="17">
        <v>1</v>
      </c>
      <c r="E96" s="34">
        <f t="shared" si="76"/>
        <v>0.3</v>
      </c>
      <c r="F96" s="35">
        <f t="shared" si="77"/>
        <v>0.3</v>
      </c>
      <c r="G96" s="17">
        <v>0.16</v>
      </c>
      <c r="H96" s="18">
        <v>0.16</v>
      </c>
      <c r="I96" s="22">
        <f t="shared" si="88"/>
        <v>1054</v>
      </c>
      <c r="K96" s="27">
        <f t="shared" si="78"/>
        <v>8</v>
      </c>
      <c r="L96" s="7" t="str">
        <f t="shared" si="79"/>
        <v>A500C</v>
      </c>
      <c r="M96" s="26">
        <f t="shared" si="80"/>
        <v>770</v>
      </c>
      <c r="N96" s="26">
        <f t="shared" si="81"/>
        <v>1</v>
      </c>
      <c r="P96" s="6" t="str">
        <f t="shared" si="82"/>
        <v>8 А500C L = 770</v>
      </c>
      <c r="R96" s="6">
        <f t="shared" si="83"/>
        <v>0.39500000000000002</v>
      </c>
      <c r="T96" s="6">
        <f t="shared" si="84"/>
        <v>0.3</v>
      </c>
      <c r="U96" s="6">
        <f t="shared" si="85"/>
        <v>0.3</v>
      </c>
      <c r="X96" s="13" t="str">
        <f t="shared" si="86"/>
        <v/>
      </c>
      <c r="Y96" s="13">
        <f t="shared" si="86"/>
        <v>0.3</v>
      </c>
      <c r="Z96" s="13" t="str">
        <f t="shared" si="86"/>
        <v/>
      </c>
      <c r="AA96" s="13" t="str">
        <f t="shared" si="86"/>
        <v/>
      </c>
      <c r="AB96" s="13" t="str">
        <f t="shared" si="86"/>
        <v/>
      </c>
      <c r="AC96" s="13" t="str">
        <f t="shared" si="86"/>
        <v/>
      </c>
      <c r="AD96" s="13" t="str">
        <f t="shared" si="86"/>
        <v/>
      </c>
      <c r="AE96" s="13" t="str">
        <f t="shared" si="86"/>
        <v/>
      </c>
      <c r="AF96" s="13" t="str">
        <f t="shared" si="86"/>
        <v/>
      </c>
      <c r="AG96" s="13" t="str">
        <f t="shared" si="86"/>
        <v/>
      </c>
      <c r="AH96" s="14"/>
      <c r="AI96" s="13" t="str">
        <f t="shared" si="87"/>
        <v/>
      </c>
      <c r="AJ96" s="13" t="str">
        <f t="shared" si="87"/>
        <v/>
      </c>
      <c r="AK96" s="13" t="str">
        <f t="shared" si="87"/>
        <v/>
      </c>
      <c r="AL96" s="13" t="str">
        <f t="shared" si="87"/>
        <v/>
      </c>
      <c r="AM96" s="13" t="str">
        <f t="shared" si="87"/>
        <v/>
      </c>
      <c r="AN96" s="13" t="str">
        <f t="shared" si="87"/>
        <v/>
      </c>
      <c r="AO96" s="13" t="str">
        <f t="shared" si="87"/>
        <v/>
      </c>
      <c r="AP96" s="13" t="str">
        <f t="shared" si="87"/>
        <v/>
      </c>
      <c r="AQ96" s="13" t="str">
        <f t="shared" si="87"/>
        <v/>
      </c>
      <c r="AR96" s="13" t="str">
        <f t="shared" si="87"/>
        <v/>
      </c>
    </row>
    <row r="97" spans="1:44" ht="14.1" customHeight="1" x14ac:dyDescent="0.25">
      <c r="A97" s="17">
        <v>1054</v>
      </c>
      <c r="B97" s="17" t="s">
        <v>14</v>
      </c>
      <c r="C97" s="17" t="s">
        <v>39</v>
      </c>
      <c r="D97" s="17">
        <v>1</v>
      </c>
      <c r="E97" s="34">
        <f t="shared" si="76"/>
        <v>0.3</v>
      </c>
      <c r="F97" s="35">
        <f t="shared" si="77"/>
        <v>0.3</v>
      </c>
      <c r="G97" s="17">
        <v>0.16</v>
      </c>
      <c r="H97" s="18">
        <v>0.16</v>
      </c>
      <c r="I97" s="22">
        <f t="shared" si="88"/>
        <v>1054</v>
      </c>
      <c r="K97" s="27">
        <f t="shared" si="78"/>
        <v>8</v>
      </c>
      <c r="L97" s="7" t="str">
        <f t="shared" si="79"/>
        <v>A500C</v>
      </c>
      <c r="M97" s="26">
        <f t="shared" si="80"/>
        <v>770</v>
      </c>
      <c r="N97" s="26">
        <f t="shared" si="81"/>
        <v>1</v>
      </c>
      <c r="P97" s="6" t="str">
        <f t="shared" si="82"/>
        <v>8 А500C L = 770</v>
      </c>
      <c r="R97" s="6">
        <f t="shared" si="83"/>
        <v>0.39500000000000002</v>
      </c>
      <c r="T97" s="6">
        <f t="shared" si="84"/>
        <v>0.3</v>
      </c>
      <c r="U97" s="6">
        <f t="shared" si="85"/>
        <v>0.3</v>
      </c>
      <c r="X97" s="13" t="str">
        <f t="shared" si="86"/>
        <v/>
      </c>
      <c r="Y97" s="13">
        <f t="shared" si="86"/>
        <v>0.3</v>
      </c>
      <c r="Z97" s="13" t="str">
        <f t="shared" si="86"/>
        <v/>
      </c>
      <c r="AA97" s="13" t="str">
        <f t="shared" si="86"/>
        <v/>
      </c>
      <c r="AB97" s="13" t="str">
        <f t="shared" si="86"/>
        <v/>
      </c>
      <c r="AC97" s="13" t="str">
        <f t="shared" si="86"/>
        <v/>
      </c>
      <c r="AD97" s="13" t="str">
        <f t="shared" si="86"/>
        <v/>
      </c>
      <c r="AE97" s="13" t="str">
        <f t="shared" si="86"/>
        <v/>
      </c>
      <c r="AF97" s="13" t="str">
        <f t="shared" si="86"/>
        <v/>
      </c>
      <c r="AG97" s="13" t="str">
        <f t="shared" si="86"/>
        <v/>
      </c>
      <c r="AH97" s="14"/>
      <c r="AI97" s="13" t="str">
        <f t="shared" si="87"/>
        <v/>
      </c>
      <c r="AJ97" s="13" t="str">
        <f t="shared" si="87"/>
        <v/>
      </c>
      <c r="AK97" s="13" t="str">
        <f t="shared" si="87"/>
        <v/>
      </c>
      <c r="AL97" s="13" t="str">
        <f t="shared" si="87"/>
        <v/>
      </c>
      <c r="AM97" s="13" t="str">
        <f t="shared" si="87"/>
        <v/>
      </c>
      <c r="AN97" s="13" t="str">
        <f t="shared" si="87"/>
        <v/>
      </c>
      <c r="AO97" s="13" t="str">
        <f t="shared" si="87"/>
        <v/>
      </c>
      <c r="AP97" s="13" t="str">
        <f t="shared" si="87"/>
        <v/>
      </c>
      <c r="AQ97" s="13" t="str">
        <f t="shared" si="87"/>
        <v/>
      </c>
      <c r="AR97" s="13" t="str">
        <f t="shared" si="87"/>
        <v/>
      </c>
    </row>
    <row r="98" spans="1:44" ht="14.1" customHeight="1" x14ac:dyDescent="0.25">
      <c r="A98" s="17">
        <v>1054</v>
      </c>
      <c r="B98" s="17" t="s">
        <v>14</v>
      </c>
      <c r="C98" s="17" t="s">
        <v>39</v>
      </c>
      <c r="D98" s="17">
        <v>1</v>
      </c>
      <c r="E98" s="34">
        <f t="shared" si="76"/>
        <v>0.3</v>
      </c>
      <c r="F98" s="35">
        <f t="shared" si="77"/>
        <v>0.3</v>
      </c>
      <c r="G98" s="17">
        <v>0.16</v>
      </c>
      <c r="H98" s="18">
        <v>0.16</v>
      </c>
      <c r="I98" s="22">
        <f t="shared" si="88"/>
        <v>1054</v>
      </c>
      <c r="K98" s="27">
        <f t="shared" si="78"/>
        <v>8</v>
      </c>
      <c r="L98" s="7" t="str">
        <f t="shared" si="79"/>
        <v>A500C</v>
      </c>
      <c r="M98" s="26">
        <f t="shared" si="80"/>
        <v>770</v>
      </c>
      <c r="N98" s="26">
        <f t="shared" si="81"/>
        <v>1</v>
      </c>
      <c r="P98" s="6" t="str">
        <f t="shared" si="82"/>
        <v>8 А500C L = 770</v>
      </c>
      <c r="R98" s="6">
        <f t="shared" si="83"/>
        <v>0.39500000000000002</v>
      </c>
      <c r="T98" s="6">
        <f t="shared" si="84"/>
        <v>0.3</v>
      </c>
      <c r="U98" s="6">
        <f t="shared" si="85"/>
        <v>0.3</v>
      </c>
      <c r="X98" s="13" t="str">
        <f t="shared" si="86"/>
        <v/>
      </c>
      <c r="Y98" s="13">
        <f t="shared" si="86"/>
        <v>0.3</v>
      </c>
      <c r="Z98" s="13" t="str">
        <f t="shared" si="86"/>
        <v/>
      </c>
      <c r="AA98" s="13" t="str">
        <f t="shared" si="86"/>
        <v/>
      </c>
      <c r="AB98" s="13" t="str">
        <f t="shared" si="86"/>
        <v/>
      </c>
      <c r="AC98" s="13" t="str">
        <f t="shared" si="86"/>
        <v/>
      </c>
      <c r="AD98" s="13" t="str">
        <f t="shared" si="86"/>
        <v/>
      </c>
      <c r="AE98" s="13" t="str">
        <f t="shared" si="86"/>
        <v/>
      </c>
      <c r="AF98" s="13" t="str">
        <f t="shared" si="86"/>
        <v/>
      </c>
      <c r="AG98" s="13" t="str">
        <f t="shared" si="86"/>
        <v/>
      </c>
      <c r="AH98" s="14"/>
      <c r="AI98" s="13" t="str">
        <f t="shared" si="87"/>
        <v/>
      </c>
      <c r="AJ98" s="13" t="str">
        <f t="shared" si="87"/>
        <v/>
      </c>
      <c r="AK98" s="13" t="str">
        <f t="shared" si="87"/>
        <v/>
      </c>
      <c r="AL98" s="13" t="str">
        <f t="shared" si="87"/>
        <v/>
      </c>
      <c r="AM98" s="13" t="str">
        <f t="shared" si="87"/>
        <v/>
      </c>
      <c r="AN98" s="13" t="str">
        <f t="shared" si="87"/>
        <v/>
      </c>
      <c r="AO98" s="13" t="str">
        <f t="shared" si="87"/>
        <v/>
      </c>
      <c r="AP98" s="13" t="str">
        <f t="shared" si="87"/>
        <v/>
      </c>
      <c r="AQ98" s="13" t="str">
        <f t="shared" si="87"/>
        <v/>
      </c>
      <c r="AR98" s="13" t="str">
        <f t="shared" si="87"/>
        <v/>
      </c>
    </row>
    <row r="99" spans="1:44" ht="14.1" customHeight="1" x14ac:dyDescent="0.25">
      <c r="A99" s="17">
        <v>1054</v>
      </c>
      <c r="B99" s="17" t="s">
        <v>14</v>
      </c>
      <c r="C99" s="17" t="s">
        <v>39</v>
      </c>
      <c r="D99" s="17">
        <v>1</v>
      </c>
      <c r="E99" s="34">
        <f t="shared" si="76"/>
        <v>0.3</v>
      </c>
      <c r="F99" s="35">
        <f t="shared" si="77"/>
        <v>0.3</v>
      </c>
      <c r="G99" s="17">
        <v>0.16</v>
      </c>
      <c r="H99" s="18">
        <v>0.16</v>
      </c>
      <c r="I99" s="22">
        <f t="shared" si="88"/>
        <v>1054</v>
      </c>
      <c r="K99" s="27">
        <f t="shared" si="78"/>
        <v>8</v>
      </c>
      <c r="L99" s="7" t="str">
        <f t="shared" si="79"/>
        <v>A500C</v>
      </c>
      <c r="M99" s="26">
        <f t="shared" si="80"/>
        <v>770</v>
      </c>
      <c r="N99" s="26">
        <f t="shared" si="81"/>
        <v>1</v>
      </c>
      <c r="P99" s="6" t="str">
        <f t="shared" si="82"/>
        <v>8 А500C L = 770</v>
      </c>
      <c r="R99" s="6">
        <f t="shared" si="83"/>
        <v>0.39500000000000002</v>
      </c>
      <c r="T99" s="6">
        <f t="shared" si="84"/>
        <v>0.3</v>
      </c>
      <c r="U99" s="6">
        <f t="shared" si="85"/>
        <v>0.3</v>
      </c>
      <c r="X99" s="13" t="str">
        <f t="shared" si="86"/>
        <v/>
      </c>
      <c r="Y99" s="13">
        <f t="shared" si="86"/>
        <v>0.3</v>
      </c>
      <c r="Z99" s="13" t="str">
        <f t="shared" si="86"/>
        <v/>
      </c>
      <c r="AA99" s="13" t="str">
        <f t="shared" si="86"/>
        <v/>
      </c>
      <c r="AB99" s="13" t="str">
        <f t="shared" si="86"/>
        <v/>
      </c>
      <c r="AC99" s="13" t="str">
        <f t="shared" si="86"/>
        <v/>
      </c>
      <c r="AD99" s="13" t="str">
        <f t="shared" si="86"/>
        <v/>
      </c>
      <c r="AE99" s="13" t="str">
        <f t="shared" si="86"/>
        <v/>
      </c>
      <c r="AF99" s="13" t="str">
        <f t="shared" si="86"/>
        <v/>
      </c>
      <c r="AG99" s="13" t="str">
        <f t="shared" si="86"/>
        <v/>
      </c>
      <c r="AH99" s="14"/>
      <c r="AI99" s="13" t="str">
        <f t="shared" si="87"/>
        <v/>
      </c>
      <c r="AJ99" s="13" t="str">
        <f t="shared" si="87"/>
        <v/>
      </c>
      <c r="AK99" s="13" t="str">
        <f t="shared" si="87"/>
        <v/>
      </c>
      <c r="AL99" s="13" t="str">
        <f t="shared" si="87"/>
        <v/>
      </c>
      <c r="AM99" s="13" t="str">
        <f t="shared" si="87"/>
        <v/>
      </c>
      <c r="AN99" s="13" t="str">
        <f t="shared" si="87"/>
        <v/>
      </c>
      <c r="AO99" s="13" t="str">
        <f t="shared" si="87"/>
        <v/>
      </c>
      <c r="AP99" s="13" t="str">
        <f t="shared" si="87"/>
        <v/>
      </c>
      <c r="AQ99" s="13" t="str">
        <f t="shared" si="87"/>
        <v/>
      </c>
      <c r="AR99" s="13" t="str">
        <f t="shared" si="87"/>
        <v/>
      </c>
    </row>
    <row r="100" spans="1:44" ht="14.1" customHeight="1" x14ac:dyDescent="0.25">
      <c r="A100" s="17">
        <v>1054</v>
      </c>
      <c r="B100" s="17" t="s">
        <v>14</v>
      </c>
      <c r="C100" s="17" t="s">
        <v>39</v>
      </c>
      <c r="D100" s="17">
        <v>1</v>
      </c>
      <c r="E100" s="34">
        <f t="shared" si="76"/>
        <v>0.3</v>
      </c>
      <c r="F100" s="35">
        <f t="shared" si="77"/>
        <v>0.3</v>
      </c>
      <c r="G100" s="17">
        <v>0.16</v>
      </c>
      <c r="H100" s="18">
        <v>0.16</v>
      </c>
      <c r="I100" s="22">
        <f t="shared" si="88"/>
        <v>1054</v>
      </c>
      <c r="K100" s="27">
        <f t="shared" si="78"/>
        <v>8</v>
      </c>
      <c r="L100" s="7" t="str">
        <f t="shared" si="79"/>
        <v>A500C</v>
      </c>
      <c r="M100" s="26">
        <f t="shared" si="80"/>
        <v>770</v>
      </c>
      <c r="N100" s="26">
        <f t="shared" si="81"/>
        <v>1</v>
      </c>
      <c r="P100" s="6" t="str">
        <f t="shared" si="82"/>
        <v>8 А500C L = 770</v>
      </c>
      <c r="R100" s="6">
        <f t="shared" si="83"/>
        <v>0.39500000000000002</v>
      </c>
      <c r="T100" s="6">
        <f t="shared" si="84"/>
        <v>0.3</v>
      </c>
      <c r="U100" s="6">
        <f t="shared" si="85"/>
        <v>0.3</v>
      </c>
      <c r="X100" s="13" t="str">
        <f t="shared" si="86"/>
        <v/>
      </c>
      <c r="Y100" s="13">
        <f t="shared" si="86"/>
        <v>0.3</v>
      </c>
      <c r="Z100" s="13" t="str">
        <f t="shared" si="86"/>
        <v/>
      </c>
      <c r="AA100" s="13" t="str">
        <f t="shared" si="86"/>
        <v/>
      </c>
      <c r="AB100" s="13" t="str">
        <f t="shared" si="86"/>
        <v/>
      </c>
      <c r="AC100" s="13" t="str">
        <f t="shared" si="86"/>
        <v/>
      </c>
      <c r="AD100" s="13" t="str">
        <f t="shared" si="86"/>
        <v/>
      </c>
      <c r="AE100" s="13" t="str">
        <f t="shared" si="86"/>
        <v/>
      </c>
      <c r="AF100" s="13" t="str">
        <f t="shared" si="86"/>
        <v/>
      </c>
      <c r="AG100" s="13" t="str">
        <f t="shared" si="86"/>
        <v/>
      </c>
      <c r="AH100" s="14"/>
      <c r="AI100" s="13" t="str">
        <f t="shared" si="87"/>
        <v/>
      </c>
      <c r="AJ100" s="13" t="str">
        <f t="shared" si="87"/>
        <v/>
      </c>
      <c r="AK100" s="13" t="str">
        <f t="shared" si="87"/>
        <v/>
      </c>
      <c r="AL100" s="13" t="str">
        <f t="shared" si="87"/>
        <v/>
      </c>
      <c r="AM100" s="13" t="str">
        <f t="shared" si="87"/>
        <v/>
      </c>
      <c r="AN100" s="13" t="str">
        <f t="shared" si="87"/>
        <v/>
      </c>
      <c r="AO100" s="13" t="str">
        <f t="shared" si="87"/>
        <v/>
      </c>
      <c r="AP100" s="13" t="str">
        <f t="shared" si="87"/>
        <v/>
      </c>
      <c r="AQ100" s="13" t="str">
        <f t="shared" si="87"/>
        <v/>
      </c>
      <c r="AR100" s="13" t="str">
        <f t="shared" si="87"/>
        <v/>
      </c>
    </row>
    <row r="101" spans="1:44" ht="14.1" customHeight="1" x14ac:dyDescent="0.25">
      <c r="A101" s="17">
        <v>1054</v>
      </c>
      <c r="B101" s="17" t="s">
        <v>14</v>
      </c>
      <c r="C101" s="17" t="s">
        <v>39</v>
      </c>
      <c r="D101" s="17">
        <v>1</v>
      </c>
      <c r="E101" s="34">
        <f t="shared" si="76"/>
        <v>0.3</v>
      </c>
      <c r="F101" s="35">
        <f t="shared" si="77"/>
        <v>0.3</v>
      </c>
      <c r="G101" s="17">
        <v>0.16</v>
      </c>
      <c r="H101" s="18">
        <v>0.16</v>
      </c>
      <c r="I101" s="22">
        <f t="shared" si="88"/>
        <v>1054</v>
      </c>
      <c r="K101" s="27">
        <f t="shared" si="78"/>
        <v>8</v>
      </c>
      <c r="L101" s="7" t="str">
        <f t="shared" si="79"/>
        <v>A500C</v>
      </c>
      <c r="M101" s="26">
        <f t="shared" si="80"/>
        <v>770</v>
      </c>
      <c r="N101" s="26">
        <f t="shared" si="81"/>
        <v>1</v>
      </c>
      <c r="P101" s="6" t="str">
        <f t="shared" si="82"/>
        <v>8 А500C L = 770</v>
      </c>
      <c r="R101" s="6">
        <f t="shared" si="83"/>
        <v>0.39500000000000002</v>
      </c>
      <c r="T101" s="6">
        <f t="shared" si="84"/>
        <v>0.3</v>
      </c>
      <c r="U101" s="6">
        <f t="shared" si="85"/>
        <v>0.3</v>
      </c>
      <c r="X101" s="13" t="str">
        <f t="shared" si="86"/>
        <v/>
      </c>
      <c r="Y101" s="13">
        <f t="shared" si="86"/>
        <v>0.3</v>
      </c>
      <c r="Z101" s="13" t="str">
        <f t="shared" si="86"/>
        <v/>
      </c>
      <c r="AA101" s="13" t="str">
        <f t="shared" si="86"/>
        <v/>
      </c>
      <c r="AB101" s="13" t="str">
        <f t="shared" si="86"/>
        <v/>
      </c>
      <c r="AC101" s="13" t="str">
        <f t="shared" si="86"/>
        <v/>
      </c>
      <c r="AD101" s="13" t="str">
        <f t="shared" si="86"/>
        <v/>
      </c>
      <c r="AE101" s="13" t="str">
        <f t="shared" si="86"/>
        <v/>
      </c>
      <c r="AF101" s="13" t="str">
        <f t="shared" si="86"/>
        <v/>
      </c>
      <c r="AG101" s="13" t="str">
        <f t="shared" si="86"/>
        <v/>
      </c>
      <c r="AH101" s="14"/>
      <c r="AI101" s="13" t="str">
        <f t="shared" si="87"/>
        <v/>
      </c>
      <c r="AJ101" s="13" t="str">
        <f t="shared" si="87"/>
        <v/>
      </c>
      <c r="AK101" s="13" t="str">
        <f t="shared" si="87"/>
        <v/>
      </c>
      <c r="AL101" s="13" t="str">
        <f t="shared" si="87"/>
        <v/>
      </c>
      <c r="AM101" s="13" t="str">
        <f t="shared" si="87"/>
        <v/>
      </c>
      <c r="AN101" s="13" t="str">
        <f t="shared" si="87"/>
        <v/>
      </c>
      <c r="AO101" s="13" t="str">
        <f t="shared" si="87"/>
        <v/>
      </c>
      <c r="AP101" s="13" t="str">
        <f t="shared" si="87"/>
        <v/>
      </c>
      <c r="AQ101" s="13" t="str">
        <f t="shared" si="87"/>
        <v/>
      </c>
      <c r="AR101" s="13" t="str">
        <f t="shared" si="87"/>
        <v/>
      </c>
    </row>
    <row r="102" spans="1:44" x14ac:dyDescent="0.25">
      <c r="A102" s="30"/>
      <c r="B102" s="30"/>
      <c r="C102" s="33" t="s">
        <v>16</v>
      </c>
      <c r="D102" s="30"/>
      <c r="E102" s="30"/>
      <c r="F102" s="32"/>
      <c r="G102" s="1"/>
      <c r="H102" s="2"/>
      <c r="I102" s="22"/>
      <c r="K102" s="27"/>
      <c r="L102" s="7"/>
      <c r="M102" s="26"/>
      <c r="N102" s="26"/>
      <c r="P102" s="6"/>
      <c r="R102" s="6">
        <f t="shared" si="29"/>
        <v>0</v>
      </c>
      <c r="T102" s="6"/>
      <c r="U102" s="6"/>
      <c r="X102" s="13" t="str">
        <f t="shared" ref="X102:AG107" si="89">IF(AND($K102=X$2,$L102=X$1),$F102,"")</f>
        <v/>
      </c>
      <c r="Y102" s="13" t="str">
        <f t="shared" si="89"/>
        <v/>
      </c>
      <c r="Z102" s="13" t="str">
        <f t="shared" si="89"/>
        <v/>
      </c>
      <c r="AA102" s="13" t="str">
        <f t="shared" si="89"/>
        <v/>
      </c>
      <c r="AB102" s="13" t="str">
        <f t="shared" si="89"/>
        <v/>
      </c>
      <c r="AC102" s="13" t="str">
        <f t="shared" si="89"/>
        <v/>
      </c>
      <c r="AD102" s="13" t="str">
        <f t="shared" si="89"/>
        <v/>
      </c>
      <c r="AE102" s="13" t="str">
        <f t="shared" si="89"/>
        <v/>
      </c>
      <c r="AF102" s="13" t="str">
        <f t="shared" si="89"/>
        <v/>
      </c>
      <c r="AG102" s="13" t="str">
        <f t="shared" si="89"/>
        <v/>
      </c>
      <c r="AH102" s="14"/>
      <c r="AI102" s="13" t="str">
        <f t="shared" ref="AI102:AR107" si="90">IF(AND($K102=AI$2,$L102=AI$1),$F102,"")</f>
        <v/>
      </c>
      <c r="AJ102" s="13" t="str">
        <f t="shared" si="90"/>
        <v/>
      </c>
      <c r="AK102" s="13" t="str">
        <f t="shared" si="90"/>
        <v/>
      </c>
      <c r="AL102" s="13" t="str">
        <f t="shared" si="90"/>
        <v/>
      </c>
      <c r="AM102" s="13" t="str">
        <f t="shared" si="90"/>
        <v/>
      </c>
      <c r="AN102" s="13" t="str">
        <f t="shared" si="90"/>
        <v/>
      </c>
      <c r="AO102" s="13" t="str">
        <f t="shared" si="90"/>
        <v/>
      </c>
      <c r="AP102" s="13" t="str">
        <f t="shared" si="90"/>
        <v/>
      </c>
      <c r="AQ102" s="13" t="str">
        <f t="shared" si="90"/>
        <v/>
      </c>
      <c r="AR102" s="13" t="str">
        <f t="shared" si="90"/>
        <v/>
      </c>
    </row>
    <row r="103" spans="1:44" x14ac:dyDescent="0.25">
      <c r="A103" s="36"/>
      <c r="B103" s="36"/>
      <c r="C103" s="4" t="s">
        <v>31</v>
      </c>
      <c r="D103" s="36"/>
      <c r="E103" s="36"/>
      <c r="F103" s="19" t="s">
        <v>40</v>
      </c>
      <c r="G103" s="1"/>
      <c r="H103" s="2"/>
      <c r="I103" s="22"/>
      <c r="K103" s="27"/>
      <c r="L103" s="7"/>
      <c r="M103" s="26"/>
      <c r="N103" s="26"/>
      <c r="P103" s="6"/>
      <c r="R103" s="6">
        <f t="shared" si="29"/>
        <v>0</v>
      </c>
      <c r="T103" s="6"/>
      <c r="U103" s="6"/>
      <c r="X103" s="13" t="str">
        <f t="shared" si="89"/>
        <v/>
      </c>
      <c r="Y103" s="13" t="str">
        <f t="shared" si="89"/>
        <v/>
      </c>
      <c r="Z103" s="13" t="str">
        <f t="shared" si="89"/>
        <v/>
      </c>
      <c r="AA103" s="13" t="str">
        <f t="shared" si="89"/>
        <v/>
      </c>
      <c r="AB103" s="13" t="str">
        <f t="shared" si="89"/>
        <v/>
      </c>
      <c r="AC103" s="13" t="str">
        <f t="shared" si="89"/>
        <v/>
      </c>
      <c r="AD103" s="13" t="str">
        <f t="shared" si="89"/>
        <v/>
      </c>
      <c r="AE103" s="13" t="str">
        <f t="shared" si="89"/>
        <v/>
      </c>
      <c r="AF103" s="13" t="str">
        <f t="shared" si="89"/>
        <v/>
      </c>
      <c r="AG103" s="13" t="str">
        <f t="shared" si="89"/>
        <v/>
      </c>
      <c r="AH103" s="14"/>
      <c r="AI103" s="13" t="str">
        <f t="shared" si="90"/>
        <v/>
      </c>
      <c r="AJ103" s="13" t="str">
        <f t="shared" si="90"/>
        <v/>
      </c>
      <c r="AK103" s="13" t="str">
        <f t="shared" si="90"/>
        <v/>
      </c>
      <c r="AL103" s="13" t="str">
        <f t="shared" si="90"/>
        <v/>
      </c>
      <c r="AM103" s="13" t="str">
        <f t="shared" si="90"/>
        <v/>
      </c>
      <c r="AN103" s="13" t="str">
        <f t="shared" si="90"/>
        <v/>
      </c>
      <c r="AO103" s="13" t="str">
        <f t="shared" si="90"/>
        <v/>
      </c>
      <c r="AP103" s="13" t="str">
        <f t="shared" si="90"/>
        <v/>
      </c>
      <c r="AQ103" s="13" t="str">
        <f t="shared" si="90"/>
        <v/>
      </c>
      <c r="AR103" s="13" t="str">
        <f t="shared" si="90"/>
        <v/>
      </c>
    </row>
    <row r="104" spans="1:44" x14ac:dyDescent="0.25">
      <c r="A104" s="3"/>
      <c r="B104" s="3"/>
      <c r="C104" s="3"/>
      <c r="D104" s="3"/>
      <c r="E104" s="3"/>
      <c r="F104" s="31"/>
      <c r="G104" s="1"/>
      <c r="H104" s="2"/>
      <c r="I104" s="22"/>
      <c r="K104" s="27"/>
      <c r="L104" s="7"/>
      <c r="M104" s="26"/>
      <c r="N104" s="26"/>
      <c r="P104" s="6"/>
      <c r="R104" s="6">
        <f t="shared" si="29"/>
        <v>0</v>
      </c>
      <c r="T104" s="6"/>
      <c r="U104" s="6"/>
      <c r="X104" s="13" t="str">
        <f t="shared" si="89"/>
        <v/>
      </c>
      <c r="Y104" s="13" t="str">
        <f t="shared" si="89"/>
        <v/>
      </c>
      <c r="Z104" s="13" t="str">
        <f t="shared" si="89"/>
        <v/>
      </c>
      <c r="AA104" s="13" t="str">
        <f t="shared" si="89"/>
        <v/>
      </c>
      <c r="AB104" s="13" t="str">
        <f t="shared" si="89"/>
        <v/>
      </c>
      <c r="AC104" s="13" t="str">
        <f t="shared" si="89"/>
        <v/>
      </c>
      <c r="AD104" s="13" t="str">
        <f t="shared" si="89"/>
        <v/>
      </c>
      <c r="AE104" s="13" t="str">
        <f t="shared" si="89"/>
        <v/>
      </c>
      <c r="AF104" s="13" t="str">
        <f t="shared" si="89"/>
        <v/>
      </c>
      <c r="AG104" s="13" t="str">
        <f t="shared" si="89"/>
        <v/>
      </c>
      <c r="AH104" s="14"/>
      <c r="AI104" s="13" t="str">
        <f t="shared" si="90"/>
        <v/>
      </c>
      <c r="AJ104" s="13" t="str">
        <f t="shared" si="90"/>
        <v/>
      </c>
      <c r="AK104" s="13" t="str">
        <f t="shared" si="90"/>
        <v/>
      </c>
      <c r="AL104" s="13" t="str">
        <f t="shared" si="90"/>
        <v/>
      </c>
      <c r="AM104" s="13" t="str">
        <f t="shared" si="90"/>
        <v/>
      </c>
      <c r="AN104" s="13" t="str">
        <f t="shared" si="90"/>
        <v/>
      </c>
      <c r="AO104" s="13" t="str">
        <f t="shared" si="90"/>
        <v/>
      </c>
      <c r="AP104" s="13" t="str">
        <f t="shared" si="90"/>
        <v/>
      </c>
      <c r="AQ104" s="13" t="str">
        <f t="shared" si="90"/>
        <v/>
      </c>
      <c r="AR104" s="13" t="str">
        <f t="shared" si="90"/>
        <v/>
      </c>
    </row>
    <row r="105" spans="1:44" x14ac:dyDescent="0.25">
      <c r="A105" s="3"/>
      <c r="B105" s="3"/>
      <c r="C105" s="3"/>
      <c r="D105" s="3"/>
      <c r="E105" s="3"/>
      <c r="F105" s="31"/>
      <c r="G105" s="1"/>
      <c r="H105" s="2"/>
      <c r="I105" s="22"/>
      <c r="K105" s="27"/>
      <c r="L105" s="7"/>
      <c r="M105" s="26"/>
      <c r="N105" s="26"/>
      <c r="P105" s="6"/>
      <c r="R105" s="6">
        <f t="shared" si="29"/>
        <v>0</v>
      </c>
      <c r="T105" s="6"/>
      <c r="U105" s="6"/>
      <c r="X105" s="13" t="str">
        <f t="shared" si="89"/>
        <v/>
      </c>
      <c r="Y105" s="13" t="str">
        <f t="shared" si="89"/>
        <v/>
      </c>
      <c r="Z105" s="13" t="str">
        <f t="shared" si="89"/>
        <v/>
      </c>
      <c r="AA105" s="13" t="str">
        <f t="shared" si="89"/>
        <v/>
      </c>
      <c r="AB105" s="13" t="str">
        <f t="shared" si="89"/>
        <v/>
      </c>
      <c r="AC105" s="13" t="str">
        <f t="shared" si="89"/>
        <v/>
      </c>
      <c r="AD105" s="13" t="str">
        <f t="shared" si="89"/>
        <v/>
      </c>
      <c r="AE105" s="13" t="str">
        <f t="shared" si="89"/>
        <v/>
      </c>
      <c r="AF105" s="13" t="str">
        <f t="shared" si="89"/>
        <v/>
      </c>
      <c r="AG105" s="13" t="str">
        <f t="shared" si="89"/>
        <v/>
      </c>
      <c r="AH105" s="14"/>
      <c r="AI105" s="13" t="str">
        <f t="shared" si="90"/>
        <v/>
      </c>
      <c r="AJ105" s="13" t="str">
        <f t="shared" si="90"/>
        <v/>
      </c>
      <c r="AK105" s="13" t="str">
        <f t="shared" si="90"/>
        <v/>
      </c>
      <c r="AL105" s="13" t="str">
        <f t="shared" si="90"/>
        <v/>
      </c>
      <c r="AM105" s="13" t="str">
        <f t="shared" si="90"/>
        <v/>
      </c>
      <c r="AN105" s="13" t="str">
        <f t="shared" si="90"/>
        <v/>
      </c>
      <c r="AO105" s="13" t="str">
        <f t="shared" si="90"/>
        <v/>
      </c>
      <c r="AP105" s="13" t="str">
        <f t="shared" si="90"/>
        <v/>
      </c>
      <c r="AQ105" s="13" t="str">
        <f t="shared" si="90"/>
        <v/>
      </c>
      <c r="AR105" s="13" t="str">
        <f t="shared" si="90"/>
        <v/>
      </c>
    </row>
    <row r="106" spans="1:44" x14ac:dyDescent="0.25">
      <c r="A106" s="3"/>
      <c r="B106" s="3"/>
      <c r="C106" s="3"/>
      <c r="D106" s="3"/>
      <c r="E106" s="3"/>
      <c r="F106" s="31"/>
      <c r="G106" s="1"/>
      <c r="H106" s="2"/>
      <c r="I106" s="22"/>
      <c r="K106" s="27"/>
      <c r="L106" s="7"/>
      <c r="M106" s="26"/>
      <c r="N106" s="26"/>
      <c r="P106" s="6"/>
      <c r="R106" s="6">
        <f t="shared" ref="R106:R135" si="91">IF(K106=6,0.222,IF(K106=8,0.395,IF(K106=10,0.617,IF(K106=12,0.888,IF(K106=14,1.208,IF(K106=16,1.578,IF(K106=18,1.998,IF(K106=20,2.466,IF(K106=22,2.984,IF(K106=25,3.853,IF(K106=28,4.83,IF(K106=32,6.31,0))))))))))))</f>
        <v>0</v>
      </c>
      <c r="T106" s="6"/>
      <c r="U106" s="6"/>
      <c r="X106" s="13" t="str">
        <f t="shared" si="89"/>
        <v/>
      </c>
      <c r="Y106" s="13" t="str">
        <f t="shared" si="89"/>
        <v/>
      </c>
      <c r="Z106" s="13" t="str">
        <f t="shared" si="89"/>
        <v/>
      </c>
      <c r="AA106" s="13" t="str">
        <f t="shared" si="89"/>
        <v/>
      </c>
      <c r="AB106" s="13" t="str">
        <f t="shared" si="89"/>
        <v/>
      </c>
      <c r="AC106" s="13" t="str">
        <f t="shared" si="89"/>
        <v/>
      </c>
      <c r="AD106" s="13" t="str">
        <f t="shared" si="89"/>
        <v/>
      </c>
      <c r="AE106" s="13" t="str">
        <f t="shared" si="89"/>
        <v/>
      </c>
      <c r="AF106" s="13" t="str">
        <f t="shared" si="89"/>
        <v/>
      </c>
      <c r="AG106" s="13" t="str">
        <f t="shared" si="89"/>
        <v/>
      </c>
      <c r="AH106" s="14"/>
      <c r="AI106" s="13" t="str">
        <f t="shared" si="90"/>
        <v/>
      </c>
      <c r="AJ106" s="13" t="str">
        <f t="shared" si="90"/>
        <v/>
      </c>
      <c r="AK106" s="13" t="str">
        <f t="shared" si="90"/>
        <v/>
      </c>
      <c r="AL106" s="13" t="str">
        <f t="shared" si="90"/>
        <v/>
      </c>
      <c r="AM106" s="13" t="str">
        <f t="shared" si="90"/>
        <v/>
      </c>
      <c r="AN106" s="13" t="str">
        <f t="shared" si="90"/>
        <v/>
      </c>
      <c r="AO106" s="13" t="str">
        <f t="shared" si="90"/>
        <v/>
      </c>
      <c r="AP106" s="13" t="str">
        <f t="shared" si="90"/>
        <v/>
      </c>
      <c r="AQ106" s="13" t="str">
        <f t="shared" si="90"/>
        <v/>
      </c>
      <c r="AR106" s="13" t="str">
        <f t="shared" si="90"/>
        <v/>
      </c>
    </row>
    <row r="107" spans="1:44" x14ac:dyDescent="0.25">
      <c r="A107" s="3"/>
      <c r="B107" s="3"/>
      <c r="C107" s="3"/>
      <c r="D107" s="3"/>
      <c r="E107" s="3"/>
      <c r="F107" s="31"/>
      <c r="G107" s="1"/>
      <c r="H107" s="2"/>
      <c r="I107" s="22"/>
      <c r="K107" s="27"/>
      <c r="L107" s="7"/>
      <c r="M107" s="26"/>
      <c r="N107" s="26"/>
      <c r="P107" s="6"/>
      <c r="R107" s="6">
        <f t="shared" si="91"/>
        <v>0</v>
      </c>
      <c r="T107" s="6"/>
      <c r="U107" s="6"/>
      <c r="X107" s="13" t="str">
        <f t="shared" si="89"/>
        <v/>
      </c>
      <c r="Y107" s="13" t="str">
        <f t="shared" si="89"/>
        <v/>
      </c>
      <c r="Z107" s="13" t="str">
        <f t="shared" si="89"/>
        <v/>
      </c>
      <c r="AA107" s="13" t="str">
        <f t="shared" si="89"/>
        <v/>
      </c>
      <c r="AB107" s="13" t="str">
        <f t="shared" si="89"/>
        <v/>
      </c>
      <c r="AC107" s="13" t="str">
        <f t="shared" si="89"/>
        <v/>
      </c>
      <c r="AD107" s="13" t="str">
        <f t="shared" si="89"/>
        <v/>
      </c>
      <c r="AE107" s="13" t="str">
        <f t="shared" si="89"/>
        <v/>
      </c>
      <c r="AF107" s="13" t="str">
        <f t="shared" si="89"/>
        <v/>
      </c>
      <c r="AG107" s="13" t="str">
        <f t="shared" si="89"/>
        <v/>
      </c>
      <c r="AH107" s="14"/>
      <c r="AI107" s="13" t="str">
        <f t="shared" si="90"/>
        <v/>
      </c>
      <c r="AJ107" s="13" t="str">
        <f t="shared" si="90"/>
        <v/>
      </c>
      <c r="AK107" s="13" t="str">
        <f t="shared" si="90"/>
        <v/>
      </c>
      <c r="AL107" s="13" t="str">
        <f t="shared" si="90"/>
        <v/>
      </c>
      <c r="AM107" s="13" t="str">
        <f t="shared" si="90"/>
        <v/>
      </c>
      <c r="AN107" s="13" t="str">
        <f t="shared" si="90"/>
        <v/>
      </c>
      <c r="AO107" s="13" t="str">
        <f t="shared" si="90"/>
        <v/>
      </c>
      <c r="AP107" s="13" t="str">
        <f t="shared" si="90"/>
        <v/>
      </c>
      <c r="AQ107" s="13" t="str">
        <f t="shared" si="90"/>
        <v/>
      </c>
      <c r="AR107" s="13" t="str">
        <f t="shared" si="90"/>
        <v/>
      </c>
    </row>
    <row r="108" spans="1:44" x14ac:dyDescent="0.25">
      <c r="A108" s="3"/>
      <c r="B108" s="3"/>
      <c r="C108" s="3"/>
      <c r="D108" s="3"/>
      <c r="E108" s="3"/>
      <c r="F108" s="31"/>
      <c r="G108" s="1"/>
      <c r="H108" s="2"/>
      <c r="I108" s="22"/>
      <c r="K108" s="27"/>
      <c r="L108" s="7"/>
      <c r="M108" s="26"/>
      <c r="N108" s="26"/>
      <c r="P108" s="6"/>
      <c r="R108" s="6">
        <f t="shared" si="91"/>
        <v>0</v>
      </c>
      <c r="T108" s="6"/>
      <c r="U108" s="6"/>
      <c r="X108" s="13" t="str">
        <f t="shared" ref="X108:AG133" si="92">IF(AND($K108=X$2,$L108=X$1),$F108,"")</f>
        <v/>
      </c>
      <c r="Y108" s="13" t="str">
        <f t="shared" si="92"/>
        <v/>
      </c>
      <c r="Z108" s="13" t="str">
        <f t="shared" si="92"/>
        <v/>
      </c>
      <c r="AA108" s="13" t="str">
        <f t="shared" si="92"/>
        <v/>
      </c>
      <c r="AB108" s="13" t="str">
        <f t="shared" si="92"/>
        <v/>
      </c>
      <c r="AC108" s="13" t="str">
        <f t="shared" si="92"/>
        <v/>
      </c>
      <c r="AD108" s="13" t="str">
        <f t="shared" si="92"/>
        <v/>
      </c>
      <c r="AE108" s="13" t="str">
        <f t="shared" si="92"/>
        <v/>
      </c>
      <c r="AF108" s="13" t="str">
        <f t="shared" si="92"/>
        <v/>
      </c>
      <c r="AG108" s="13" t="str">
        <f t="shared" si="92"/>
        <v/>
      </c>
      <c r="AH108" s="14"/>
      <c r="AI108" s="13" t="str">
        <f t="shared" ref="AI108:AR133" si="93">IF(AND($K108=AI$2,$L108=AI$1),$F108,"")</f>
        <v/>
      </c>
      <c r="AJ108" s="13" t="str">
        <f t="shared" si="93"/>
        <v/>
      </c>
      <c r="AK108" s="13" t="str">
        <f t="shared" si="93"/>
        <v/>
      </c>
      <c r="AL108" s="13" t="str">
        <f t="shared" si="93"/>
        <v/>
      </c>
      <c r="AM108" s="13" t="str">
        <f t="shared" si="93"/>
        <v/>
      </c>
      <c r="AN108" s="13" t="str">
        <f t="shared" si="93"/>
        <v/>
      </c>
      <c r="AO108" s="13" t="str">
        <f t="shared" si="93"/>
        <v/>
      </c>
      <c r="AP108" s="13" t="str">
        <f t="shared" si="93"/>
        <v/>
      </c>
      <c r="AQ108" s="13" t="str">
        <f t="shared" si="93"/>
        <v/>
      </c>
      <c r="AR108" s="13" t="str">
        <f t="shared" si="93"/>
        <v/>
      </c>
    </row>
    <row r="109" spans="1:44" x14ac:dyDescent="0.25">
      <c r="A109" s="3"/>
      <c r="B109" s="3"/>
      <c r="C109" s="3"/>
      <c r="D109" s="3"/>
      <c r="E109" s="3"/>
      <c r="F109" s="31"/>
      <c r="G109" s="1"/>
      <c r="H109" s="2"/>
      <c r="I109" s="22"/>
      <c r="K109" s="27"/>
      <c r="L109" s="7"/>
      <c r="M109" s="26"/>
      <c r="N109" s="26"/>
      <c r="P109" s="6"/>
      <c r="R109" s="6">
        <f t="shared" si="91"/>
        <v>0</v>
      </c>
      <c r="T109" s="6"/>
      <c r="U109" s="6"/>
      <c r="X109" s="13" t="str">
        <f t="shared" si="92"/>
        <v/>
      </c>
      <c r="Y109" s="13" t="str">
        <f t="shared" si="92"/>
        <v/>
      </c>
      <c r="Z109" s="13" t="str">
        <f t="shared" si="92"/>
        <v/>
      </c>
      <c r="AA109" s="13" t="str">
        <f t="shared" si="92"/>
        <v/>
      </c>
      <c r="AB109" s="13" t="str">
        <f t="shared" si="92"/>
        <v/>
      </c>
      <c r="AC109" s="13" t="str">
        <f t="shared" si="92"/>
        <v/>
      </c>
      <c r="AD109" s="13" t="str">
        <f t="shared" si="92"/>
        <v/>
      </c>
      <c r="AE109" s="13" t="str">
        <f t="shared" si="92"/>
        <v/>
      </c>
      <c r="AF109" s="13" t="str">
        <f t="shared" si="92"/>
        <v/>
      </c>
      <c r="AG109" s="13" t="str">
        <f t="shared" si="92"/>
        <v/>
      </c>
      <c r="AH109" s="14"/>
      <c r="AI109" s="13" t="str">
        <f t="shared" si="93"/>
        <v/>
      </c>
      <c r="AJ109" s="13" t="str">
        <f t="shared" si="93"/>
        <v/>
      </c>
      <c r="AK109" s="13" t="str">
        <f t="shared" si="93"/>
        <v/>
      </c>
      <c r="AL109" s="13" t="str">
        <f t="shared" si="93"/>
        <v/>
      </c>
      <c r="AM109" s="13" t="str">
        <f t="shared" si="93"/>
        <v/>
      </c>
      <c r="AN109" s="13" t="str">
        <f t="shared" si="93"/>
        <v/>
      </c>
      <c r="AO109" s="13" t="str">
        <f t="shared" si="93"/>
        <v/>
      </c>
      <c r="AP109" s="13" t="str">
        <f t="shared" si="93"/>
        <v/>
      </c>
      <c r="AQ109" s="13" t="str">
        <f t="shared" si="93"/>
        <v/>
      </c>
      <c r="AR109" s="13" t="str">
        <f t="shared" si="93"/>
        <v/>
      </c>
    </row>
    <row r="110" spans="1:44" x14ac:dyDescent="0.25">
      <c r="A110" s="3"/>
      <c r="B110" s="3"/>
      <c r="C110" s="3"/>
      <c r="D110" s="3"/>
      <c r="E110" s="3"/>
      <c r="F110" s="31"/>
      <c r="G110" s="1"/>
      <c r="H110" s="2"/>
      <c r="I110" s="22"/>
      <c r="K110" s="27"/>
      <c r="L110" s="7"/>
      <c r="M110" s="26"/>
      <c r="N110" s="26"/>
      <c r="P110" s="6"/>
      <c r="R110" s="6">
        <f t="shared" si="91"/>
        <v>0</v>
      </c>
      <c r="T110" s="6"/>
      <c r="U110" s="6"/>
      <c r="X110" s="13" t="str">
        <f t="shared" si="92"/>
        <v/>
      </c>
      <c r="Y110" s="13" t="str">
        <f t="shared" si="92"/>
        <v/>
      </c>
      <c r="Z110" s="13" t="str">
        <f t="shared" si="92"/>
        <v/>
      </c>
      <c r="AA110" s="13" t="str">
        <f t="shared" si="92"/>
        <v/>
      </c>
      <c r="AB110" s="13" t="str">
        <f t="shared" si="92"/>
        <v/>
      </c>
      <c r="AC110" s="13" t="str">
        <f t="shared" si="92"/>
        <v/>
      </c>
      <c r="AD110" s="13" t="str">
        <f t="shared" si="92"/>
        <v/>
      </c>
      <c r="AE110" s="13" t="str">
        <f t="shared" si="92"/>
        <v/>
      </c>
      <c r="AF110" s="13" t="str">
        <f t="shared" si="92"/>
        <v/>
      </c>
      <c r="AG110" s="13" t="str">
        <f t="shared" si="92"/>
        <v/>
      </c>
      <c r="AH110" s="14"/>
      <c r="AI110" s="13" t="str">
        <f t="shared" si="93"/>
        <v/>
      </c>
      <c r="AJ110" s="13" t="str">
        <f t="shared" si="93"/>
        <v/>
      </c>
      <c r="AK110" s="13" t="str">
        <f t="shared" si="93"/>
        <v/>
      </c>
      <c r="AL110" s="13" t="str">
        <f t="shared" si="93"/>
        <v/>
      </c>
      <c r="AM110" s="13" t="str">
        <f t="shared" si="93"/>
        <v/>
      </c>
      <c r="AN110" s="13" t="str">
        <f t="shared" si="93"/>
        <v/>
      </c>
      <c r="AO110" s="13" t="str">
        <f t="shared" si="93"/>
        <v/>
      </c>
      <c r="AP110" s="13" t="str">
        <f t="shared" si="93"/>
        <v/>
      </c>
      <c r="AQ110" s="13" t="str">
        <f t="shared" si="93"/>
        <v/>
      </c>
      <c r="AR110" s="13" t="str">
        <f t="shared" si="93"/>
        <v/>
      </c>
    </row>
    <row r="111" spans="1:44" x14ac:dyDescent="0.25">
      <c r="A111" s="3"/>
      <c r="B111" s="3"/>
      <c r="C111" s="3"/>
      <c r="D111" s="3"/>
      <c r="E111" s="3"/>
      <c r="F111" s="31"/>
      <c r="G111" s="1"/>
      <c r="H111" s="2"/>
      <c r="I111" s="22"/>
      <c r="K111" s="27"/>
      <c r="L111" s="7"/>
      <c r="M111" s="26"/>
      <c r="N111" s="26"/>
      <c r="P111" s="6"/>
      <c r="R111" s="6">
        <f t="shared" si="91"/>
        <v>0</v>
      </c>
      <c r="T111" s="6"/>
      <c r="U111" s="6"/>
      <c r="X111" s="13" t="str">
        <f t="shared" si="92"/>
        <v/>
      </c>
      <c r="Y111" s="13" t="str">
        <f t="shared" si="92"/>
        <v/>
      </c>
      <c r="Z111" s="13" t="str">
        <f t="shared" si="92"/>
        <v/>
      </c>
      <c r="AA111" s="13" t="str">
        <f t="shared" si="92"/>
        <v/>
      </c>
      <c r="AB111" s="13" t="str">
        <f t="shared" si="92"/>
        <v/>
      </c>
      <c r="AC111" s="13" t="str">
        <f t="shared" si="92"/>
        <v/>
      </c>
      <c r="AD111" s="13" t="str">
        <f t="shared" si="92"/>
        <v/>
      </c>
      <c r="AE111" s="13" t="str">
        <f t="shared" si="92"/>
        <v/>
      </c>
      <c r="AF111" s="13" t="str">
        <f t="shared" si="92"/>
        <v/>
      </c>
      <c r="AG111" s="13" t="str">
        <f t="shared" si="92"/>
        <v/>
      </c>
      <c r="AH111" s="14"/>
      <c r="AI111" s="13" t="str">
        <f t="shared" si="93"/>
        <v/>
      </c>
      <c r="AJ111" s="13" t="str">
        <f t="shared" si="93"/>
        <v/>
      </c>
      <c r="AK111" s="13" t="str">
        <f t="shared" si="93"/>
        <v/>
      </c>
      <c r="AL111" s="13" t="str">
        <f t="shared" si="93"/>
        <v/>
      </c>
      <c r="AM111" s="13" t="str">
        <f t="shared" si="93"/>
        <v/>
      </c>
      <c r="AN111" s="13" t="str">
        <f t="shared" si="93"/>
        <v/>
      </c>
      <c r="AO111" s="13" t="str">
        <f t="shared" si="93"/>
        <v/>
      </c>
      <c r="AP111" s="13" t="str">
        <f t="shared" si="93"/>
        <v/>
      </c>
      <c r="AQ111" s="13" t="str">
        <f t="shared" si="93"/>
        <v/>
      </c>
      <c r="AR111" s="13" t="str">
        <f t="shared" si="93"/>
        <v/>
      </c>
    </row>
    <row r="112" spans="1:44" x14ac:dyDescent="0.25">
      <c r="A112" s="3"/>
      <c r="B112" s="3"/>
      <c r="C112" s="3"/>
      <c r="D112" s="3"/>
      <c r="E112" s="3"/>
      <c r="F112" s="31"/>
      <c r="G112" s="1"/>
      <c r="H112" s="2"/>
      <c r="I112" s="22"/>
      <c r="K112" s="27"/>
      <c r="L112" s="7"/>
      <c r="M112" s="26"/>
      <c r="N112" s="26"/>
      <c r="P112" s="6"/>
      <c r="R112" s="6">
        <f t="shared" si="91"/>
        <v>0</v>
      </c>
      <c r="T112" s="6"/>
      <c r="U112" s="6"/>
      <c r="X112" s="13" t="str">
        <f t="shared" si="92"/>
        <v/>
      </c>
      <c r="Y112" s="13" t="str">
        <f t="shared" si="92"/>
        <v/>
      </c>
      <c r="Z112" s="13" t="str">
        <f t="shared" si="92"/>
        <v/>
      </c>
      <c r="AA112" s="13" t="str">
        <f t="shared" si="92"/>
        <v/>
      </c>
      <c r="AB112" s="13" t="str">
        <f t="shared" si="92"/>
        <v/>
      </c>
      <c r="AC112" s="13" t="str">
        <f t="shared" si="92"/>
        <v/>
      </c>
      <c r="AD112" s="13" t="str">
        <f t="shared" si="92"/>
        <v/>
      </c>
      <c r="AE112" s="13" t="str">
        <f t="shared" si="92"/>
        <v/>
      </c>
      <c r="AF112" s="13" t="str">
        <f t="shared" si="92"/>
        <v/>
      </c>
      <c r="AG112" s="13" t="str">
        <f t="shared" si="92"/>
        <v/>
      </c>
      <c r="AH112" s="14"/>
      <c r="AI112" s="13" t="str">
        <f t="shared" si="93"/>
        <v/>
      </c>
      <c r="AJ112" s="13" t="str">
        <f t="shared" si="93"/>
        <v/>
      </c>
      <c r="AK112" s="13" t="str">
        <f t="shared" si="93"/>
        <v/>
      </c>
      <c r="AL112" s="13" t="str">
        <f t="shared" si="93"/>
        <v/>
      </c>
      <c r="AM112" s="13" t="str">
        <f t="shared" si="93"/>
        <v/>
      </c>
      <c r="AN112" s="13" t="str">
        <f t="shared" si="93"/>
        <v/>
      </c>
      <c r="AO112" s="13" t="str">
        <f t="shared" si="93"/>
        <v/>
      </c>
      <c r="AP112" s="13" t="str">
        <f t="shared" si="93"/>
        <v/>
      </c>
      <c r="AQ112" s="13" t="str">
        <f t="shared" si="93"/>
        <v/>
      </c>
      <c r="AR112" s="13" t="str">
        <f t="shared" si="93"/>
        <v/>
      </c>
    </row>
    <row r="113" spans="1:44" x14ac:dyDescent="0.25">
      <c r="A113" s="3"/>
      <c r="B113" s="3"/>
      <c r="C113" s="3"/>
      <c r="D113" s="3"/>
      <c r="E113" s="3"/>
      <c r="F113" s="31"/>
      <c r="G113" s="1"/>
      <c r="H113" s="2"/>
      <c r="I113" s="22"/>
      <c r="K113" s="27"/>
      <c r="L113" s="7"/>
      <c r="M113" s="26"/>
      <c r="N113" s="26"/>
      <c r="P113" s="6"/>
      <c r="R113" s="6">
        <f t="shared" si="91"/>
        <v>0</v>
      </c>
      <c r="T113" s="6"/>
      <c r="U113" s="6"/>
      <c r="X113" s="13" t="str">
        <f t="shared" si="92"/>
        <v/>
      </c>
      <c r="Y113" s="13" t="str">
        <f t="shared" si="92"/>
        <v/>
      </c>
      <c r="Z113" s="13" t="str">
        <f t="shared" si="92"/>
        <v/>
      </c>
      <c r="AA113" s="13" t="str">
        <f t="shared" si="92"/>
        <v/>
      </c>
      <c r="AB113" s="13" t="str">
        <f t="shared" si="92"/>
        <v/>
      </c>
      <c r="AC113" s="13" t="str">
        <f t="shared" si="92"/>
        <v/>
      </c>
      <c r="AD113" s="13" t="str">
        <f t="shared" si="92"/>
        <v/>
      </c>
      <c r="AE113" s="13" t="str">
        <f t="shared" si="92"/>
        <v/>
      </c>
      <c r="AF113" s="13" t="str">
        <f t="shared" si="92"/>
        <v/>
      </c>
      <c r="AG113" s="13" t="str">
        <f t="shared" si="92"/>
        <v/>
      </c>
      <c r="AH113" s="14"/>
      <c r="AI113" s="13" t="str">
        <f t="shared" si="93"/>
        <v/>
      </c>
      <c r="AJ113" s="13" t="str">
        <f t="shared" si="93"/>
        <v/>
      </c>
      <c r="AK113" s="13" t="str">
        <f t="shared" si="93"/>
        <v/>
      </c>
      <c r="AL113" s="13" t="str">
        <f t="shared" si="93"/>
        <v/>
      </c>
      <c r="AM113" s="13" t="str">
        <f t="shared" si="93"/>
        <v/>
      </c>
      <c r="AN113" s="13" t="str">
        <f t="shared" si="93"/>
        <v/>
      </c>
      <c r="AO113" s="13" t="str">
        <f t="shared" si="93"/>
        <v/>
      </c>
      <c r="AP113" s="13" t="str">
        <f t="shared" si="93"/>
        <v/>
      </c>
      <c r="AQ113" s="13" t="str">
        <f t="shared" si="93"/>
        <v/>
      </c>
      <c r="AR113" s="13" t="str">
        <f t="shared" si="93"/>
        <v/>
      </c>
    </row>
    <row r="114" spans="1:44" x14ac:dyDescent="0.25">
      <c r="A114" s="3"/>
      <c r="B114" s="3"/>
      <c r="C114" s="3"/>
      <c r="D114" s="3"/>
      <c r="E114" s="3"/>
      <c r="F114" s="31"/>
      <c r="G114" s="1"/>
      <c r="H114" s="2"/>
      <c r="I114" s="22"/>
      <c r="K114" s="27"/>
      <c r="L114" s="7"/>
      <c r="M114" s="26"/>
      <c r="N114" s="26"/>
      <c r="P114" s="6"/>
      <c r="R114" s="6">
        <f t="shared" si="91"/>
        <v>0</v>
      </c>
      <c r="T114" s="6"/>
      <c r="U114" s="6"/>
      <c r="X114" s="13" t="str">
        <f t="shared" si="92"/>
        <v/>
      </c>
      <c r="Y114" s="13" t="str">
        <f t="shared" si="92"/>
        <v/>
      </c>
      <c r="Z114" s="13" t="str">
        <f t="shared" si="92"/>
        <v/>
      </c>
      <c r="AA114" s="13" t="str">
        <f t="shared" si="92"/>
        <v/>
      </c>
      <c r="AB114" s="13" t="str">
        <f t="shared" si="92"/>
        <v/>
      </c>
      <c r="AC114" s="13" t="str">
        <f t="shared" si="92"/>
        <v/>
      </c>
      <c r="AD114" s="13" t="str">
        <f t="shared" si="92"/>
        <v/>
      </c>
      <c r="AE114" s="13" t="str">
        <f t="shared" si="92"/>
        <v/>
      </c>
      <c r="AF114" s="13" t="str">
        <f t="shared" si="92"/>
        <v/>
      </c>
      <c r="AG114" s="13" t="str">
        <f t="shared" si="92"/>
        <v/>
      </c>
      <c r="AH114" s="14"/>
      <c r="AI114" s="13" t="str">
        <f t="shared" si="93"/>
        <v/>
      </c>
      <c r="AJ114" s="13" t="str">
        <f t="shared" si="93"/>
        <v/>
      </c>
      <c r="AK114" s="13" t="str">
        <f t="shared" si="93"/>
        <v/>
      </c>
      <c r="AL114" s="13" t="str">
        <f t="shared" si="93"/>
        <v/>
      </c>
      <c r="AM114" s="13" t="str">
        <f t="shared" si="93"/>
        <v/>
      </c>
      <c r="AN114" s="13" t="str">
        <f t="shared" si="93"/>
        <v/>
      </c>
      <c r="AO114" s="13" t="str">
        <f t="shared" si="93"/>
        <v/>
      </c>
      <c r="AP114" s="13" t="str">
        <f t="shared" si="93"/>
        <v/>
      </c>
      <c r="AQ114" s="13" t="str">
        <f t="shared" si="93"/>
        <v/>
      </c>
      <c r="AR114" s="13" t="str">
        <f t="shared" si="93"/>
        <v/>
      </c>
    </row>
    <row r="115" spans="1:44" x14ac:dyDescent="0.25">
      <c r="A115" s="3"/>
      <c r="B115" s="3"/>
      <c r="C115" s="3"/>
      <c r="D115" s="3"/>
      <c r="E115" s="3"/>
      <c r="F115" s="31"/>
      <c r="G115" s="1"/>
      <c r="H115" s="2"/>
      <c r="I115" s="22"/>
      <c r="K115" s="27"/>
      <c r="L115" s="7"/>
      <c r="M115" s="26"/>
      <c r="N115" s="26"/>
      <c r="P115" s="6"/>
      <c r="R115" s="6">
        <f t="shared" si="91"/>
        <v>0</v>
      </c>
      <c r="T115" s="6"/>
      <c r="U115" s="6"/>
      <c r="X115" s="13" t="str">
        <f t="shared" si="92"/>
        <v/>
      </c>
      <c r="Y115" s="13" t="str">
        <f t="shared" si="92"/>
        <v/>
      </c>
      <c r="Z115" s="13" t="str">
        <f t="shared" si="92"/>
        <v/>
      </c>
      <c r="AA115" s="13" t="str">
        <f t="shared" si="92"/>
        <v/>
      </c>
      <c r="AB115" s="13" t="str">
        <f t="shared" si="92"/>
        <v/>
      </c>
      <c r="AC115" s="13" t="str">
        <f t="shared" si="92"/>
        <v/>
      </c>
      <c r="AD115" s="13" t="str">
        <f t="shared" si="92"/>
        <v/>
      </c>
      <c r="AE115" s="13" t="str">
        <f t="shared" si="92"/>
        <v/>
      </c>
      <c r="AF115" s="13" t="str">
        <f t="shared" si="92"/>
        <v/>
      </c>
      <c r="AG115" s="13" t="str">
        <f t="shared" si="92"/>
        <v/>
      </c>
      <c r="AH115" s="14"/>
      <c r="AI115" s="13" t="str">
        <f t="shared" si="93"/>
        <v/>
      </c>
      <c r="AJ115" s="13" t="str">
        <f t="shared" si="93"/>
        <v/>
      </c>
      <c r="AK115" s="13" t="str">
        <f t="shared" si="93"/>
        <v/>
      </c>
      <c r="AL115" s="13" t="str">
        <f t="shared" si="93"/>
        <v/>
      </c>
      <c r="AM115" s="13" t="str">
        <f t="shared" si="93"/>
        <v/>
      </c>
      <c r="AN115" s="13" t="str">
        <f t="shared" si="93"/>
        <v/>
      </c>
      <c r="AO115" s="13" t="str">
        <f t="shared" si="93"/>
        <v/>
      </c>
      <c r="AP115" s="13" t="str">
        <f t="shared" si="93"/>
        <v/>
      </c>
      <c r="AQ115" s="13" t="str">
        <f t="shared" si="93"/>
        <v/>
      </c>
      <c r="AR115" s="13" t="str">
        <f t="shared" si="93"/>
        <v/>
      </c>
    </row>
    <row r="116" spans="1:44" x14ac:dyDescent="0.25">
      <c r="A116" s="3"/>
      <c r="B116" s="3"/>
      <c r="C116" s="3"/>
      <c r="D116" s="3"/>
      <c r="E116" s="3"/>
      <c r="F116" s="31"/>
      <c r="G116" s="1"/>
      <c r="H116" s="2"/>
      <c r="I116" s="22"/>
      <c r="K116" s="27"/>
      <c r="L116" s="7"/>
      <c r="M116" s="26"/>
      <c r="N116" s="26"/>
      <c r="P116" s="6"/>
      <c r="R116" s="6">
        <f t="shared" si="91"/>
        <v>0</v>
      </c>
      <c r="T116" s="6"/>
      <c r="U116" s="6"/>
      <c r="X116" s="13" t="str">
        <f t="shared" si="92"/>
        <v/>
      </c>
      <c r="Y116" s="13" t="str">
        <f t="shared" si="92"/>
        <v/>
      </c>
      <c r="Z116" s="13" t="str">
        <f t="shared" si="92"/>
        <v/>
      </c>
      <c r="AA116" s="13" t="str">
        <f t="shared" si="92"/>
        <v/>
      </c>
      <c r="AB116" s="13" t="str">
        <f t="shared" si="92"/>
        <v/>
      </c>
      <c r="AC116" s="13" t="str">
        <f t="shared" si="92"/>
        <v/>
      </c>
      <c r="AD116" s="13" t="str">
        <f t="shared" si="92"/>
        <v/>
      </c>
      <c r="AE116" s="13" t="str">
        <f t="shared" si="92"/>
        <v/>
      </c>
      <c r="AF116" s="13" t="str">
        <f t="shared" si="92"/>
        <v/>
      </c>
      <c r="AG116" s="13" t="str">
        <f t="shared" si="92"/>
        <v/>
      </c>
      <c r="AH116" s="14"/>
      <c r="AI116" s="13" t="str">
        <f t="shared" si="93"/>
        <v/>
      </c>
      <c r="AJ116" s="13" t="str">
        <f t="shared" si="93"/>
        <v/>
      </c>
      <c r="AK116" s="13" t="str">
        <f t="shared" si="93"/>
        <v/>
      </c>
      <c r="AL116" s="13" t="str">
        <f t="shared" si="93"/>
        <v/>
      </c>
      <c r="AM116" s="13" t="str">
        <f t="shared" si="93"/>
        <v/>
      </c>
      <c r="AN116" s="13" t="str">
        <f t="shared" si="93"/>
        <v/>
      </c>
      <c r="AO116" s="13" t="str">
        <f t="shared" si="93"/>
        <v/>
      </c>
      <c r="AP116" s="13" t="str">
        <f t="shared" si="93"/>
        <v/>
      </c>
      <c r="AQ116" s="13" t="str">
        <f t="shared" si="93"/>
        <v/>
      </c>
      <c r="AR116" s="13" t="str">
        <f t="shared" si="93"/>
        <v/>
      </c>
    </row>
    <row r="117" spans="1:44" x14ac:dyDescent="0.25">
      <c r="A117" s="3"/>
      <c r="B117" s="3"/>
      <c r="C117" s="3"/>
      <c r="D117" s="3"/>
      <c r="E117" s="3"/>
      <c r="F117" s="31"/>
      <c r="G117" s="1"/>
      <c r="H117" s="2"/>
      <c r="I117" s="22"/>
      <c r="K117" s="27"/>
      <c r="L117" s="7"/>
      <c r="M117" s="26"/>
      <c r="N117" s="26"/>
      <c r="P117" s="6"/>
      <c r="R117" s="6">
        <f t="shared" si="91"/>
        <v>0</v>
      </c>
      <c r="T117" s="6"/>
      <c r="U117" s="6"/>
      <c r="X117" s="13" t="str">
        <f t="shared" si="92"/>
        <v/>
      </c>
      <c r="Y117" s="13" t="str">
        <f t="shared" si="92"/>
        <v/>
      </c>
      <c r="Z117" s="13" t="str">
        <f t="shared" si="92"/>
        <v/>
      </c>
      <c r="AA117" s="13" t="str">
        <f t="shared" si="92"/>
        <v/>
      </c>
      <c r="AB117" s="13" t="str">
        <f t="shared" si="92"/>
        <v/>
      </c>
      <c r="AC117" s="13" t="str">
        <f t="shared" si="92"/>
        <v/>
      </c>
      <c r="AD117" s="13" t="str">
        <f t="shared" si="92"/>
        <v/>
      </c>
      <c r="AE117" s="13" t="str">
        <f t="shared" si="92"/>
        <v/>
      </c>
      <c r="AF117" s="13" t="str">
        <f t="shared" si="92"/>
        <v/>
      </c>
      <c r="AG117" s="13" t="str">
        <f t="shared" si="92"/>
        <v/>
      </c>
      <c r="AH117" s="14"/>
      <c r="AI117" s="13" t="str">
        <f t="shared" si="93"/>
        <v/>
      </c>
      <c r="AJ117" s="13" t="str">
        <f t="shared" si="93"/>
        <v/>
      </c>
      <c r="AK117" s="13" t="str">
        <f t="shared" si="93"/>
        <v/>
      </c>
      <c r="AL117" s="13" t="str">
        <f t="shared" si="93"/>
        <v/>
      </c>
      <c r="AM117" s="13" t="str">
        <f t="shared" si="93"/>
        <v/>
      </c>
      <c r="AN117" s="13" t="str">
        <f t="shared" si="93"/>
        <v/>
      </c>
      <c r="AO117" s="13" t="str">
        <f t="shared" si="93"/>
        <v/>
      </c>
      <c r="AP117" s="13" t="str">
        <f t="shared" si="93"/>
        <v/>
      </c>
      <c r="AQ117" s="13" t="str">
        <f t="shared" si="93"/>
        <v/>
      </c>
      <c r="AR117" s="13" t="str">
        <f t="shared" si="93"/>
        <v/>
      </c>
    </row>
    <row r="118" spans="1:44" x14ac:dyDescent="0.25">
      <c r="A118" s="3"/>
      <c r="B118" s="3"/>
      <c r="C118" s="3"/>
      <c r="D118" s="3"/>
      <c r="E118" s="3"/>
      <c r="F118" s="31"/>
      <c r="G118" s="1"/>
      <c r="H118" s="2"/>
      <c r="I118" s="22"/>
      <c r="K118" s="27"/>
      <c r="L118" s="7"/>
      <c r="M118" s="26"/>
      <c r="N118" s="26"/>
      <c r="P118" s="6"/>
      <c r="R118" s="6">
        <f t="shared" si="91"/>
        <v>0</v>
      </c>
      <c r="T118" s="6"/>
      <c r="U118" s="6"/>
      <c r="X118" s="13" t="str">
        <f t="shared" si="92"/>
        <v/>
      </c>
      <c r="Y118" s="13" t="str">
        <f t="shared" si="92"/>
        <v/>
      </c>
      <c r="Z118" s="13" t="str">
        <f t="shared" si="92"/>
        <v/>
      </c>
      <c r="AA118" s="13" t="str">
        <f t="shared" si="92"/>
        <v/>
      </c>
      <c r="AB118" s="13" t="str">
        <f t="shared" si="92"/>
        <v/>
      </c>
      <c r="AC118" s="13" t="str">
        <f t="shared" si="92"/>
        <v/>
      </c>
      <c r="AD118" s="13" t="str">
        <f t="shared" si="92"/>
        <v/>
      </c>
      <c r="AE118" s="13" t="str">
        <f t="shared" si="92"/>
        <v/>
      </c>
      <c r="AF118" s="13" t="str">
        <f t="shared" si="92"/>
        <v/>
      </c>
      <c r="AG118" s="13" t="str">
        <f t="shared" si="92"/>
        <v/>
      </c>
      <c r="AH118" s="14"/>
      <c r="AI118" s="13" t="str">
        <f t="shared" si="93"/>
        <v/>
      </c>
      <c r="AJ118" s="13" t="str">
        <f t="shared" si="93"/>
        <v/>
      </c>
      <c r="AK118" s="13" t="str">
        <f t="shared" si="93"/>
        <v/>
      </c>
      <c r="AL118" s="13" t="str">
        <f t="shared" si="93"/>
        <v/>
      </c>
      <c r="AM118" s="13" t="str">
        <f t="shared" si="93"/>
        <v/>
      </c>
      <c r="AN118" s="13" t="str">
        <f t="shared" si="93"/>
        <v/>
      </c>
      <c r="AO118" s="13" t="str">
        <f t="shared" si="93"/>
        <v/>
      </c>
      <c r="AP118" s="13" t="str">
        <f t="shared" si="93"/>
        <v/>
      </c>
      <c r="AQ118" s="13" t="str">
        <f t="shared" si="93"/>
        <v/>
      </c>
      <c r="AR118" s="13" t="str">
        <f t="shared" si="93"/>
        <v/>
      </c>
    </row>
    <row r="119" spans="1:44" x14ac:dyDescent="0.25">
      <c r="A119" s="3"/>
      <c r="B119" s="3"/>
      <c r="C119" s="3"/>
      <c r="D119" s="3"/>
      <c r="E119" s="3"/>
      <c r="F119" s="31"/>
      <c r="G119" s="1"/>
      <c r="H119" s="2"/>
      <c r="I119" s="22"/>
      <c r="K119" s="27"/>
      <c r="L119" s="7"/>
      <c r="M119" s="26"/>
      <c r="N119" s="26"/>
      <c r="P119" s="6"/>
      <c r="R119" s="6">
        <f t="shared" si="91"/>
        <v>0</v>
      </c>
      <c r="T119" s="6"/>
      <c r="U119" s="6"/>
      <c r="X119" s="13" t="str">
        <f t="shared" si="92"/>
        <v/>
      </c>
      <c r="Y119" s="13" t="str">
        <f t="shared" si="92"/>
        <v/>
      </c>
      <c r="Z119" s="13" t="str">
        <f t="shared" si="92"/>
        <v/>
      </c>
      <c r="AA119" s="13" t="str">
        <f t="shared" si="92"/>
        <v/>
      </c>
      <c r="AB119" s="13" t="str">
        <f t="shared" si="92"/>
        <v/>
      </c>
      <c r="AC119" s="13" t="str">
        <f t="shared" si="92"/>
        <v/>
      </c>
      <c r="AD119" s="13" t="str">
        <f t="shared" si="92"/>
        <v/>
      </c>
      <c r="AE119" s="13" t="str">
        <f t="shared" si="92"/>
        <v/>
      </c>
      <c r="AF119" s="13" t="str">
        <f t="shared" si="92"/>
        <v/>
      </c>
      <c r="AG119" s="13" t="str">
        <f t="shared" si="92"/>
        <v/>
      </c>
      <c r="AH119" s="14"/>
      <c r="AI119" s="13" t="str">
        <f t="shared" si="93"/>
        <v/>
      </c>
      <c r="AJ119" s="13" t="str">
        <f t="shared" si="93"/>
        <v/>
      </c>
      <c r="AK119" s="13" t="str">
        <f t="shared" si="93"/>
        <v/>
      </c>
      <c r="AL119" s="13" t="str">
        <f t="shared" si="93"/>
        <v/>
      </c>
      <c r="AM119" s="13" t="str">
        <f t="shared" si="93"/>
        <v/>
      </c>
      <c r="AN119" s="13" t="str">
        <f t="shared" si="93"/>
        <v/>
      </c>
      <c r="AO119" s="13" t="str">
        <f t="shared" si="93"/>
        <v/>
      </c>
      <c r="AP119" s="13" t="str">
        <f t="shared" si="93"/>
        <v/>
      </c>
      <c r="AQ119" s="13" t="str">
        <f t="shared" si="93"/>
        <v/>
      </c>
      <c r="AR119" s="13" t="str">
        <f t="shared" si="93"/>
        <v/>
      </c>
    </row>
    <row r="120" spans="1:44" x14ac:dyDescent="0.25">
      <c r="A120" s="3"/>
      <c r="B120" s="3"/>
      <c r="C120" s="3"/>
      <c r="D120" s="3"/>
      <c r="E120" s="3"/>
      <c r="F120" s="31"/>
      <c r="G120" s="1"/>
      <c r="H120" s="2"/>
      <c r="I120" s="22"/>
      <c r="K120" s="27"/>
      <c r="L120" s="7"/>
      <c r="M120" s="26"/>
      <c r="N120" s="26"/>
      <c r="P120" s="6"/>
      <c r="R120" s="6">
        <f t="shared" si="91"/>
        <v>0</v>
      </c>
      <c r="T120" s="6"/>
      <c r="U120" s="6"/>
      <c r="X120" s="13" t="str">
        <f t="shared" si="92"/>
        <v/>
      </c>
      <c r="Y120" s="13" t="str">
        <f t="shared" si="92"/>
        <v/>
      </c>
      <c r="Z120" s="13" t="str">
        <f t="shared" si="92"/>
        <v/>
      </c>
      <c r="AA120" s="13" t="str">
        <f t="shared" si="92"/>
        <v/>
      </c>
      <c r="AB120" s="13" t="str">
        <f t="shared" si="92"/>
        <v/>
      </c>
      <c r="AC120" s="13" t="str">
        <f t="shared" si="92"/>
        <v/>
      </c>
      <c r="AD120" s="13" t="str">
        <f t="shared" si="92"/>
        <v/>
      </c>
      <c r="AE120" s="13" t="str">
        <f t="shared" si="92"/>
        <v/>
      </c>
      <c r="AF120" s="13" t="str">
        <f t="shared" si="92"/>
        <v/>
      </c>
      <c r="AG120" s="13" t="str">
        <f t="shared" si="92"/>
        <v/>
      </c>
      <c r="AH120" s="14"/>
      <c r="AI120" s="13" t="str">
        <f t="shared" si="93"/>
        <v/>
      </c>
      <c r="AJ120" s="13" t="str">
        <f t="shared" si="93"/>
        <v/>
      </c>
      <c r="AK120" s="13" t="str">
        <f t="shared" si="93"/>
        <v/>
      </c>
      <c r="AL120" s="13" t="str">
        <f t="shared" si="93"/>
        <v/>
      </c>
      <c r="AM120" s="13" t="str">
        <f t="shared" si="93"/>
        <v/>
      </c>
      <c r="AN120" s="13" t="str">
        <f t="shared" si="93"/>
        <v/>
      </c>
      <c r="AO120" s="13" t="str">
        <f t="shared" si="93"/>
        <v/>
      </c>
      <c r="AP120" s="13" t="str">
        <f t="shared" si="93"/>
        <v/>
      </c>
      <c r="AQ120" s="13" t="str">
        <f t="shared" si="93"/>
        <v/>
      </c>
      <c r="AR120" s="13" t="str">
        <f t="shared" si="93"/>
        <v/>
      </c>
    </row>
    <row r="121" spans="1:44" x14ac:dyDescent="0.25">
      <c r="A121" s="3"/>
      <c r="B121" s="3"/>
      <c r="C121" s="3"/>
      <c r="D121" s="3"/>
      <c r="E121" s="3"/>
      <c r="F121" s="31"/>
      <c r="G121" s="1"/>
      <c r="H121" s="2"/>
      <c r="I121" s="22"/>
      <c r="K121" s="27"/>
      <c r="L121" s="7"/>
      <c r="M121" s="26"/>
      <c r="N121" s="26"/>
      <c r="P121" s="6"/>
      <c r="R121" s="6">
        <f t="shared" si="91"/>
        <v>0</v>
      </c>
      <c r="T121" s="6"/>
      <c r="U121" s="6"/>
      <c r="X121" s="13" t="str">
        <f t="shared" si="92"/>
        <v/>
      </c>
      <c r="Y121" s="13" t="str">
        <f t="shared" si="92"/>
        <v/>
      </c>
      <c r="Z121" s="13" t="str">
        <f t="shared" si="92"/>
        <v/>
      </c>
      <c r="AA121" s="13" t="str">
        <f t="shared" si="92"/>
        <v/>
      </c>
      <c r="AB121" s="13" t="str">
        <f t="shared" si="92"/>
        <v/>
      </c>
      <c r="AC121" s="13" t="str">
        <f t="shared" si="92"/>
        <v/>
      </c>
      <c r="AD121" s="13" t="str">
        <f t="shared" si="92"/>
        <v/>
      </c>
      <c r="AE121" s="13" t="str">
        <f t="shared" si="92"/>
        <v/>
      </c>
      <c r="AF121" s="13" t="str">
        <f t="shared" si="92"/>
        <v/>
      </c>
      <c r="AG121" s="13" t="str">
        <f t="shared" si="92"/>
        <v/>
      </c>
      <c r="AH121" s="14"/>
      <c r="AI121" s="13" t="str">
        <f t="shared" si="93"/>
        <v/>
      </c>
      <c r="AJ121" s="13" t="str">
        <f t="shared" si="93"/>
        <v/>
      </c>
      <c r="AK121" s="13" t="str">
        <f t="shared" si="93"/>
        <v/>
      </c>
      <c r="AL121" s="13" t="str">
        <f t="shared" si="93"/>
        <v/>
      </c>
      <c r="AM121" s="13" t="str">
        <f t="shared" si="93"/>
        <v/>
      </c>
      <c r="AN121" s="13" t="str">
        <f t="shared" si="93"/>
        <v/>
      </c>
      <c r="AO121" s="13" t="str">
        <f t="shared" si="93"/>
        <v/>
      </c>
      <c r="AP121" s="13" t="str">
        <f t="shared" si="93"/>
        <v/>
      </c>
      <c r="AQ121" s="13" t="str">
        <f t="shared" si="93"/>
        <v/>
      </c>
      <c r="AR121" s="13" t="str">
        <f t="shared" si="93"/>
        <v/>
      </c>
    </row>
    <row r="122" spans="1:44" x14ac:dyDescent="0.25">
      <c r="A122" s="3"/>
      <c r="B122" s="3"/>
      <c r="C122" s="3"/>
      <c r="D122" s="3"/>
      <c r="E122" s="3"/>
      <c r="F122" s="31"/>
      <c r="G122" s="1"/>
      <c r="H122" s="2"/>
      <c r="I122" s="22"/>
      <c r="K122" s="27"/>
      <c r="L122" s="7"/>
      <c r="M122" s="26"/>
      <c r="N122" s="26"/>
      <c r="P122" s="6"/>
      <c r="R122" s="6">
        <f t="shared" si="91"/>
        <v>0</v>
      </c>
      <c r="T122" s="6"/>
      <c r="U122" s="6"/>
      <c r="X122" s="13" t="str">
        <f t="shared" si="92"/>
        <v/>
      </c>
      <c r="Y122" s="13" t="str">
        <f t="shared" si="92"/>
        <v/>
      </c>
      <c r="Z122" s="13" t="str">
        <f t="shared" si="92"/>
        <v/>
      </c>
      <c r="AA122" s="13" t="str">
        <f t="shared" si="92"/>
        <v/>
      </c>
      <c r="AB122" s="13" t="str">
        <f t="shared" si="92"/>
        <v/>
      </c>
      <c r="AC122" s="13" t="str">
        <f t="shared" si="92"/>
        <v/>
      </c>
      <c r="AD122" s="13" t="str">
        <f t="shared" si="92"/>
        <v/>
      </c>
      <c r="AE122" s="13" t="str">
        <f t="shared" si="92"/>
        <v/>
      </c>
      <c r="AF122" s="13" t="str">
        <f t="shared" si="92"/>
        <v/>
      </c>
      <c r="AG122" s="13" t="str">
        <f t="shared" si="92"/>
        <v/>
      </c>
      <c r="AH122" s="14"/>
      <c r="AI122" s="13" t="str">
        <f t="shared" si="93"/>
        <v/>
      </c>
      <c r="AJ122" s="13" t="str">
        <f t="shared" si="93"/>
        <v/>
      </c>
      <c r="AK122" s="13" t="str">
        <f t="shared" si="93"/>
        <v/>
      </c>
      <c r="AL122" s="13" t="str">
        <f t="shared" si="93"/>
        <v/>
      </c>
      <c r="AM122" s="13" t="str">
        <f t="shared" si="93"/>
        <v/>
      </c>
      <c r="AN122" s="13" t="str">
        <f t="shared" si="93"/>
        <v/>
      </c>
      <c r="AO122" s="13" t="str">
        <f t="shared" si="93"/>
        <v/>
      </c>
      <c r="AP122" s="13" t="str">
        <f t="shared" si="93"/>
        <v/>
      </c>
      <c r="AQ122" s="13" t="str">
        <f t="shared" si="93"/>
        <v/>
      </c>
      <c r="AR122" s="13" t="str">
        <f t="shared" si="93"/>
        <v/>
      </c>
    </row>
    <row r="123" spans="1:44" x14ac:dyDescent="0.25">
      <c r="A123" s="3"/>
      <c r="B123" s="3"/>
      <c r="C123" s="3"/>
      <c r="D123" s="3"/>
      <c r="E123" s="3"/>
      <c r="F123" s="31"/>
      <c r="G123" s="1"/>
      <c r="H123" s="2"/>
      <c r="I123" s="22"/>
      <c r="K123" s="27"/>
      <c r="L123" s="7"/>
      <c r="M123" s="26"/>
      <c r="N123" s="26"/>
      <c r="P123" s="6"/>
      <c r="R123" s="6">
        <f t="shared" si="91"/>
        <v>0</v>
      </c>
      <c r="T123" s="6"/>
      <c r="U123" s="6"/>
      <c r="X123" s="13" t="str">
        <f t="shared" si="92"/>
        <v/>
      </c>
      <c r="Y123" s="13" t="str">
        <f t="shared" si="92"/>
        <v/>
      </c>
      <c r="Z123" s="13" t="str">
        <f t="shared" si="92"/>
        <v/>
      </c>
      <c r="AA123" s="13" t="str">
        <f t="shared" si="92"/>
        <v/>
      </c>
      <c r="AB123" s="13" t="str">
        <f t="shared" si="92"/>
        <v/>
      </c>
      <c r="AC123" s="13" t="str">
        <f t="shared" si="92"/>
        <v/>
      </c>
      <c r="AD123" s="13" t="str">
        <f t="shared" si="92"/>
        <v/>
      </c>
      <c r="AE123" s="13" t="str">
        <f t="shared" si="92"/>
        <v/>
      </c>
      <c r="AF123" s="13" t="str">
        <f t="shared" si="92"/>
        <v/>
      </c>
      <c r="AG123" s="13" t="str">
        <f t="shared" si="92"/>
        <v/>
      </c>
      <c r="AH123" s="14"/>
      <c r="AI123" s="13" t="str">
        <f t="shared" si="93"/>
        <v/>
      </c>
      <c r="AJ123" s="13" t="str">
        <f t="shared" si="93"/>
        <v/>
      </c>
      <c r="AK123" s="13" t="str">
        <f t="shared" si="93"/>
        <v/>
      </c>
      <c r="AL123" s="13" t="str">
        <f t="shared" si="93"/>
        <v/>
      </c>
      <c r="AM123" s="13" t="str">
        <f t="shared" si="93"/>
        <v/>
      </c>
      <c r="AN123" s="13" t="str">
        <f t="shared" si="93"/>
        <v/>
      </c>
      <c r="AO123" s="13" t="str">
        <f t="shared" si="93"/>
        <v/>
      </c>
      <c r="AP123" s="13" t="str">
        <f t="shared" si="93"/>
        <v/>
      </c>
      <c r="AQ123" s="13" t="str">
        <f t="shared" si="93"/>
        <v/>
      </c>
      <c r="AR123" s="13" t="str">
        <f t="shared" si="93"/>
        <v/>
      </c>
    </row>
    <row r="124" spans="1:44" x14ac:dyDescent="0.25">
      <c r="A124" s="3"/>
      <c r="B124" s="3"/>
      <c r="C124" s="3"/>
      <c r="D124" s="3"/>
      <c r="E124" s="3"/>
      <c r="F124" s="31"/>
      <c r="G124" s="1"/>
      <c r="H124" s="2"/>
      <c r="I124" s="22"/>
      <c r="K124" s="27"/>
      <c r="L124" s="7"/>
      <c r="M124" s="26"/>
      <c r="N124" s="26"/>
      <c r="P124" s="6"/>
      <c r="R124" s="6">
        <f t="shared" si="91"/>
        <v>0</v>
      </c>
      <c r="T124" s="6"/>
      <c r="U124" s="6"/>
      <c r="X124" s="13" t="str">
        <f t="shared" si="92"/>
        <v/>
      </c>
      <c r="Y124" s="13" t="str">
        <f t="shared" si="92"/>
        <v/>
      </c>
      <c r="Z124" s="13" t="str">
        <f t="shared" si="92"/>
        <v/>
      </c>
      <c r="AA124" s="13" t="str">
        <f t="shared" si="92"/>
        <v/>
      </c>
      <c r="AB124" s="13" t="str">
        <f t="shared" si="92"/>
        <v/>
      </c>
      <c r="AC124" s="13" t="str">
        <f t="shared" si="92"/>
        <v/>
      </c>
      <c r="AD124" s="13" t="str">
        <f t="shared" si="92"/>
        <v/>
      </c>
      <c r="AE124" s="13" t="str">
        <f t="shared" si="92"/>
        <v/>
      </c>
      <c r="AF124" s="13" t="str">
        <f t="shared" si="92"/>
        <v/>
      </c>
      <c r="AG124" s="13" t="str">
        <f t="shared" si="92"/>
        <v/>
      </c>
      <c r="AH124" s="14"/>
      <c r="AI124" s="13" t="str">
        <f t="shared" si="93"/>
        <v/>
      </c>
      <c r="AJ124" s="13" t="str">
        <f t="shared" si="93"/>
        <v/>
      </c>
      <c r="AK124" s="13" t="str">
        <f t="shared" si="93"/>
        <v/>
      </c>
      <c r="AL124" s="13" t="str">
        <f t="shared" si="93"/>
        <v/>
      </c>
      <c r="AM124" s="13" t="str">
        <f t="shared" si="93"/>
        <v/>
      </c>
      <c r="AN124" s="13" t="str">
        <f t="shared" si="93"/>
        <v/>
      </c>
      <c r="AO124" s="13" t="str">
        <f t="shared" si="93"/>
        <v/>
      </c>
      <c r="AP124" s="13" t="str">
        <f t="shared" si="93"/>
        <v/>
      </c>
      <c r="AQ124" s="13" t="str">
        <f t="shared" si="93"/>
        <v/>
      </c>
      <c r="AR124" s="13" t="str">
        <f t="shared" si="93"/>
        <v/>
      </c>
    </row>
    <row r="125" spans="1:44" x14ac:dyDescent="0.25">
      <c r="A125" s="3"/>
      <c r="B125" s="3"/>
      <c r="C125" s="3"/>
      <c r="D125" s="3"/>
      <c r="E125" s="3"/>
      <c r="F125" s="31"/>
      <c r="G125" s="1"/>
      <c r="H125" s="2"/>
      <c r="I125" s="22"/>
      <c r="K125" s="27"/>
      <c r="L125" s="7"/>
      <c r="M125" s="26"/>
      <c r="N125" s="26"/>
      <c r="P125" s="6"/>
      <c r="R125" s="6">
        <f t="shared" si="91"/>
        <v>0</v>
      </c>
      <c r="T125" s="6"/>
      <c r="U125" s="6"/>
      <c r="X125" s="13" t="str">
        <f t="shared" si="92"/>
        <v/>
      </c>
      <c r="Y125" s="13" t="str">
        <f t="shared" si="92"/>
        <v/>
      </c>
      <c r="Z125" s="13" t="str">
        <f t="shared" si="92"/>
        <v/>
      </c>
      <c r="AA125" s="13" t="str">
        <f t="shared" si="92"/>
        <v/>
      </c>
      <c r="AB125" s="13" t="str">
        <f t="shared" si="92"/>
        <v/>
      </c>
      <c r="AC125" s="13" t="str">
        <f t="shared" si="92"/>
        <v/>
      </c>
      <c r="AD125" s="13" t="str">
        <f t="shared" si="92"/>
        <v/>
      </c>
      <c r="AE125" s="13" t="str">
        <f t="shared" si="92"/>
        <v/>
      </c>
      <c r="AF125" s="13" t="str">
        <f t="shared" si="92"/>
        <v/>
      </c>
      <c r="AG125" s="13" t="str">
        <f t="shared" si="92"/>
        <v/>
      </c>
      <c r="AH125" s="14"/>
      <c r="AI125" s="13" t="str">
        <f t="shared" si="93"/>
        <v/>
      </c>
      <c r="AJ125" s="13" t="str">
        <f t="shared" si="93"/>
        <v/>
      </c>
      <c r="AK125" s="13" t="str">
        <f t="shared" si="93"/>
        <v/>
      </c>
      <c r="AL125" s="13" t="str">
        <f t="shared" si="93"/>
        <v/>
      </c>
      <c r="AM125" s="13" t="str">
        <f t="shared" si="93"/>
        <v/>
      </c>
      <c r="AN125" s="13" t="str">
        <f t="shared" si="93"/>
        <v/>
      </c>
      <c r="AO125" s="13" t="str">
        <f t="shared" si="93"/>
        <v/>
      </c>
      <c r="AP125" s="13" t="str">
        <f t="shared" si="93"/>
        <v/>
      </c>
      <c r="AQ125" s="13" t="str">
        <f t="shared" si="93"/>
        <v/>
      </c>
      <c r="AR125" s="13" t="str">
        <f t="shared" si="93"/>
        <v/>
      </c>
    </row>
    <row r="126" spans="1:44" x14ac:dyDescent="0.25">
      <c r="A126" s="3"/>
      <c r="B126" s="3"/>
      <c r="C126" s="3"/>
      <c r="D126" s="3"/>
      <c r="E126" s="3"/>
      <c r="F126" s="31"/>
      <c r="G126" s="1"/>
      <c r="H126" s="2"/>
      <c r="I126" s="22"/>
      <c r="K126" s="27"/>
      <c r="L126" s="7"/>
      <c r="M126" s="26"/>
      <c r="N126" s="26"/>
      <c r="P126" s="6"/>
      <c r="R126" s="6">
        <f t="shared" si="91"/>
        <v>0</v>
      </c>
      <c r="T126" s="6"/>
      <c r="U126" s="6"/>
      <c r="X126" s="13" t="str">
        <f t="shared" si="92"/>
        <v/>
      </c>
      <c r="Y126" s="13" t="str">
        <f t="shared" si="92"/>
        <v/>
      </c>
      <c r="Z126" s="13" t="str">
        <f t="shared" si="92"/>
        <v/>
      </c>
      <c r="AA126" s="13" t="str">
        <f t="shared" si="92"/>
        <v/>
      </c>
      <c r="AB126" s="13" t="str">
        <f t="shared" si="92"/>
        <v/>
      </c>
      <c r="AC126" s="13" t="str">
        <f t="shared" si="92"/>
        <v/>
      </c>
      <c r="AD126" s="13" t="str">
        <f t="shared" si="92"/>
        <v/>
      </c>
      <c r="AE126" s="13" t="str">
        <f t="shared" si="92"/>
        <v/>
      </c>
      <c r="AF126" s="13" t="str">
        <f t="shared" si="92"/>
        <v/>
      </c>
      <c r="AG126" s="13" t="str">
        <f t="shared" si="92"/>
        <v/>
      </c>
      <c r="AH126" s="14"/>
      <c r="AI126" s="13" t="str">
        <f t="shared" si="93"/>
        <v/>
      </c>
      <c r="AJ126" s="13" t="str">
        <f t="shared" si="93"/>
        <v/>
      </c>
      <c r="AK126" s="13" t="str">
        <f t="shared" si="93"/>
        <v/>
      </c>
      <c r="AL126" s="13" t="str">
        <f t="shared" si="93"/>
        <v/>
      </c>
      <c r="AM126" s="13" t="str">
        <f t="shared" si="93"/>
        <v/>
      </c>
      <c r="AN126" s="13" t="str">
        <f t="shared" si="93"/>
        <v/>
      </c>
      <c r="AO126" s="13" t="str">
        <f t="shared" si="93"/>
        <v/>
      </c>
      <c r="AP126" s="13" t="str">
        <f t="shared" si="93"/>
        <v/>
      </c>
      <c r="AQ126" s="13" t="str">
        <f t="shared" si="93"/>
        <v/>
      </c>
      <c r="AR126" s="13" t="str">
        <f t="shared" si="93"/>
        <v/>
      </c>
    </row>
    <row r="127" spans="1:44" x14ac:dyDescent="0.25">
      <c r="A127" s="3"/>
      <c r="B127" s="3"/>
      <c r="C127" s="3"/>
      <c r="D127" s="3"/>
      <c r="E127" s="3"/>
      <c r="F127" s="31"/>
      <c r="G127" s="1"/>
      <c r="H127" s="2"/>
      <c r="I127" s="22"/>
      <c r="K127" s="27"/>
      <c r="L127" s="7"/>
      <c r="M127" s="26"/>
      <c r="N127" s="26"/>
      <c r="P127" s="6"/>
      <c r="R127" s="6">
        <f t="shared" si="91"/>
        <v>0</v>
      </c>
      <c r="T127" s="6"/>
      <c r="U127" s="6"/>
      <c r="X127" s="13" t="str">
        <f t="shared" si="92"/>
        <v/>
      </c>
      <c r="Y127" s="13" t="str">
        <f t="shared" si="92"/>
        <v/>
      </c>
      <c r="Z127" s="13" t="str">
        <f t="shared" si="92"/>
        <v/>
      </c>
      <c r="AA127" s="13" t="str">
        <f t="shared" si="92"/>
        <v/>
      </c>
      <c r="AB127" s="13" t="str">
        <f t="shared" si="92"/>
        <v/>
      </c>
      <c r="AC127" s="13" t="str">
        <f t="shared" si="92"/>
        <v/>
      </c>
      <c r="AD127" s="13" t="str">
        <f t="shared" si="92"/>
        <v/>
      </c>
      <c r="AE127" s="13" t="str">
        <f t="shared" si="92"/>
        <v/>
      </c>
      <c r="AF127" s="13" t="str">
        <f t="shared" si="92"/>
        <v/>
      </c>
      <c r="AG127" s="13" t="str">
        <f t="shared" si="92"/>
        <v/>
      </c>
      <c r="AH127" s="14"/>
      <c r="AI127" s="13" t="str">
        <f t="shared" si="93"/>
        <v/>
      </c>
      <c r="AJ127" s="13" t="str">
        <f t="shared" si="93"/>
        <v/>
      </c>
      <c r="AK127" s="13" t="str">
        <f t="shared" si="93"/>
        <v/>
      </c>
      <c r="AL127" s="13" t="str">
        <f t="shared" si="93"/>
        <v/>
      </c>
      <c r="AM127" s="13" t="str">
        <f t="shared" si="93"/>
        <v/>
      </c>
      <c r="AN127" s="13" t="str">
        <f t="shared" si="93"/>
        <v/>
      </c>
      <c r="AO127" s="13" t="str">
        <f t="shared" si="93"/>
        <v/>
      </c>
      <c r="AP127" s="13" t="str">
        <f t="shared" si="93"/>
        <v/>
      </c>
      <c r="AQ127" s="13" t="str">
        <f t="shared" si="93"/>
        <v/>
      </c>
      <c r="AR127" s="13" t="str">
        <f t="shared" si="93"/>
        <v/>
      </c>
    </row>
    <row r="128" spans="1:44" x14ac:dyDescent="0.25">
      <c r="A128" s="3"/>
      <c r="B128" s="3"/>
      <c r="C128" s="3"/>
      <c r="D128" s="3"/>
      <c r="E128" s="3"/>
      <c r="F128" s="31"/>
      <c r="G128" s="1"/>
      <c r="H128" s="2"/>
      <c r="I128" s="22"/>
      <c r="K128" s="27"/>
      <c r="L128" s="7"/>
      <c r="M128" s="26"/>
      <c r="N128" s="26"/>
      <c r="P128" s="6"/>
      <c r="R128" s="6">
        <f t="shared" si="91"/>
        <v>0</v>
      </c>
      <c r="T128" s="6"/>
      <c r="U128" s="6"/>
      <c r="X128" s="13" t="str">
        <f t="shared" si="92"/>
        <v/>
      </c>
      <c r="Y128" s="13" t="str">
        <f t="shared" si="92"/>
        <v/>
      </c>
      <c r="Z128" s="13" t="str">
        <f t="shared" si="92"/>
        <v/>
      </c>
      <c r="AA128" s="13" t="str">
        <f t="shared" si="92"/>
        <v/>
      </c>
      <c r="AB128" s="13" t="str">
        <f t="shared" si="92"/>
        <v/>
      </c>
      <c r="AC128" s="13" t="str">
        <f t="shared" si="92"/>
        <v/>
      </c>
      <c r="AD128" s="13" t="str">
        <f t="shared" si="92"/>
        <v/>
      </c>
      <c r="AE128" s="13" t="str">
        <f t="shared" si="92"/>
        <v/>
      </c>
      <c r="AF128" s="13" t="str">
        <f t="shared" si="92"/>
        <v/>
      </c>
      <c r="AG128" s="13" t="str">
        <f t="shared" si="92"/>
        <v/>
      </c>
      <c r="AH128" s="14"/>
      <c r="AI128" s="13" t="str">
        <f t="shared" si="93"/>
        <v/>
      </c>
      <c r="AJ128" s="13" t="str">
        <f t="shared" si="93"/>
        <v/>
      </c>
      <c r="AK128" s="13" t="str">
        <f t="shared" si="93"/>
        <v/>
      </c>
      <c r="AL128" s="13" t="str">
        <f t="shared" si="93"/>
        <v/>
      </c>
      <c r="AM128" s="13" t="str">
        <f t="shared" si="93"/>
        <v/>
      </c>
      <c r="AN128" s="13" t="str">
        <f t="shared" si="93"/>
        <v/>
      </c>
      <c r="AO128" s="13" t="str">
        <f t="shared" si="93"/>
        <v/>
      </c>
      <c r="AP128" s="13" t="str">
        <f t="shared" si="93"/>
        <v/>
      </c>
      <c r="AQ128" s="13" t="str">
        <f t="shared" si="93"/>
        <v/>
      </c>
      <c r="AR128" s="13" t="str">
        <f t="shared" si="93"/>
        <v/>
      </c>
    </row>
    <row r="129" spans="1:44" x14ac:dyDescent="0.25">
      <c r="A129" s="3"/>
      <c r="B129" s="3"/>
      <c r="C129" s="3"/>
      <c r="D129" s="3"/>
      <c r="E129" s="3"/>
      <c r="F129" s="31"/>
      <c r="G129" s="1"/>
      <c r="H129" s="2"/>
      <c r="I129" s="22"/>
      <c r="K129" s="27"/>
      <c r="L129" s="7"/>
      <c r="M129" s="26"/>
      <c r="N129" s="26"/>
      <c r="P129" s="6"/>
      <c r="R129" s="6">
        <f t="shared" si="91"/>
        <v>0</v>
      </c>
      <c r="T129" s="6"/>
      <c r="U129" s="6"/>
      <c r="X129" s="13" t="str">
        <f t="shared" si="92"/>
        <v/>
      </c>
      <c r="Y129" s="13" t="str">
        <f t="shared" si="92"/>
        <v/>
      </c>
      <c r="Z129" s="13" t="str">
        <f t="shared" si="92"/>
        <v/>
      </c>
      <c r="AA129" s="13" t="str">
        <f t="shared" si="92"/>
        <v/>
      </c>
      <c r="AB129" s="13" t="str">
        <f t="shared" si="92"/>
        <v/>
      </c>
      <c r="AC129" s="13" t="str">
        <f t="shared" si="92"/>
        <v/>
      </c>
      <c r="AD129" s="13" t="str">
        <f t="shared" si="92"/>
        <v/>
      </c>
      <c r="AE129" s="13" t="str">
        <f t="shared" si="92"/>
        <v/>
      </c>
      <c r="AF129" s="13" t="str">
        <f t="shared" si="92"/>
        <v/>
      </c>
      <c r="AG129" s="13" t="str">
        <f t="shared" si="92"/>
        <v/>
      </c>
      <c r="AH129" s="14"/>
      <c r="AI129" s="13" t="str">
        <f t="shared" si="93"/>
        <v/>
      </c>
      <c r="AJ129" s="13" t="str">
        <f t="shared" si="93"/>
        <v/>
      </c>
      <c r="AK129" s="13" t="str">
        <f t="shared" si="93"/>
        <v/>
      </c>
      <c r="AL129" s="13" t="str">
        <f t="shared" si="93"/>
        <v/>
      </c>
      <c r="AM129" s="13" t="str">
        <f t="shared" si="93"/>
        <v/>
      </c>
      <c r="AN129" s="13" t="str">
        <f t="shared" si="93"/>
        <v/>
      </c>
      <c r="AO129" s="13" t="str">
        <f t="shared" si="93"/>
        <v/>
      </c>
      <c r="AP129" s="13" t="str">
        <f t="shared" si="93"/>
        <v/>
      </c>
      <c r="AQ129" s="13" t="str">
        <f t="shared" si="93"/>
        <v/>
      </c>
      <c r="AR129" s="13" t="str">
        <f t="shared" si="93"/>
        <v/>
      </c>
    </row>
    <row r="130" spans="1:44" x14ac:dyDescent="0.25">
      <c r="A130" s="3"/>
      <c r="B130" s="3"/>
      <c r="C130" s="3"/>
      <c r="D130" s="3"/>
      <c r="E130" s="3"/>
      <c r="F130" s="31"/>
      <c r="G130" s="1"/>
      <c r="H130" s="2"/>
      <c r="I130" s="22"/>
      <c r="K130" s="27"/>
      <c r="L130" s="7"/>
      <c r="M130" s="26"/>
      <c r="N130" s="26"/>
      <c r="P130" s="6"/>
      <c r="R130" s="6">
        <f t="shared" si="91"/>
        <v>0</v>
      </c>
      <c r="T130" s="6"/>
      <c r="U130" s="6"/>
      <c r="X130" s="13" t="str">
        <f t="shared" si="92"/>
        <v/>
      </c>
      <c r="Y130" s="13" t="str">
        <f t="shared" si="92"/>
        <v/>
      </c>
      <c r="Z130" s="13" t="str">
        <f t="shared" si="92"/>
        <v/>
      </c>
      <c r="AA130" s="13" t="str">
        <f t="shared" si="92"/>
        <v/>
      </c>
      <c r="AB130" s="13" t="str">
        <f t="shared" si="92"/>
        <v/>
      </c>
      <c r="AC130" s="13" t="str">
        <f t="shared" si="92"/>
        <v/>
      </c>
      <c r="AD130" s="13" t="str">
        <f t="shared" si="92"/>
        <v/>
      </c>
      <c r="AE130" s="13" t="str">
        <f t="shared" si="92"/>
        <v/>
      </c>
      <c r="AF130" s="13" t="str">
        <f t="shared" si="92"/>
        <v/>
      </c>
      <c r="AG130" s="13" t="str">
        <f t="shared" si="92"/>
        <v/>
      </c>
      <c r="AH130" s="14"/>
      <c r="AI130" s="13" t="str">
        <f t="shared" si="93"/>
        <v/>
      </c>
      <c r="AJ130" s="13" t="str">
        <f t="shared" si="93"/>
        <v/>
      </c>
      <c r="AK130" s="13" t="str">
        <f t="shared" si="93"/>
        <v/>
      </c>
      <c r="AL130" s="13" t="str">
        <f t="shared" si="93"/>
        <v/>
      </c>
      <c r="AM130" s="13" t="str">
        <f t="shared" si="93"/>
        <v/>
      </c>
      <c r="AN130" s="13" t="str">
        <f t="shared" si="93"/>
        <v/>
      </c>
      <c r="AO130" s="13" t="str">
        <f t="shared" si="93"/>
        <v/>
      </c>
      <c r="AP130" s="13" t="str">
        <f t="shared" si="93"/>
        <v/>
      </c>
      <c r="AQ130" s="13" t="str">
        <f t="shared" si="93"/>
        <v/>
      </c>
      <c r="AR130" s="13" t="str">
        <f t="shared" si="93"/>
        <v/>
      </c>
    </row>
    <row r="131" spans="1:44" x14ac:dyDescent="0.25">
      <c r="A131" s="3"/>
      <c r="B131" s="3"/>
      <c r="C131" s="3"/>
      <c r="D131" s="3"/>
      <c r="E131" s="3"/>
      <c r="F131" s="31"/>
      <c r="G131" s="1"/>
      <c r="H131" s="2"/>
      <c r="I131" s="22"/>
      <c r="K131" s="27"/>
      <c r="L131" s="7"/>
      <c r="M131" s="26"/>
      <c r="N131" s="26"/>
      <c r="P131" s="6"/>
      <c r="R131" s="6">
        <f t="shared" si="91"/>
        <v>0</v>
      </c>
      <c r="T131" s="6"/>
      <c r="U131" s="6"/>
      <c r="X131" s="13" t="str">
        <f t="shared" si="92"/>
        <v/>
      </c>
      <c r="Y131" s="13" t="str">
        <f t="shared" si="92"/>
        <v/>
      </c>
      <c r="Z131" s="13" t="str">
        <f t="shared" si="92"/>
        <v/>
      </c>
      <c r="AA131" s="13" t="str">
        <f t="shared" si="92"/>
        <v/>
      </c>
      <c r="AB131" s="13" t="str">
        <f t="shared" si="92"/>
        <v/>
      </c>
      <c r="AC131" s="13" t="str">
        <f t="shared" si="92"/>
        <v/>
      </c>
      <c r="AD131" s="13" t="str">
        <f t="shared" si="92"/>
        <v/>
      </c>
      <c r="AE131" s="13" t="str">
        <f t="shared" si="92"/>
        <v/>
      </c>
      <c r="AF131" s="13" t="str">
        <f t="shared" si="92"/>
        <v/>
      </c>
      <c r="AG131" s="13" t="str">
        <f t="shared" si="92"/>
        <v/>
      </c>
      <c r="AH131" s="14"/>
      <c r="AI131" s="13" t="str">
        <f t="shared" si="93"/>
        <v/>
      </c>
      <c r="AJ131" s="13" t="str">
        <f t="shared" si="93"/>
        <v/>
      </c>
      <c r="AK131" s="13" t="str">
        <f t="shared" si="93"/>
        <v/>
      </c>
      <c r="AL131" s="13" t="str">
        <f t="shared" si="93"/>
        <v/>
      </c>
      <c r="AM131" s="13" t="str">
        <f t="shared" si="93"/>
        <v/>
      </c>
      <c r="AN131" s="13" t="str">
        <f t="shared" si="93"/>
        <v/>
      </c>
      <c r="AO131" s="13" t="str">
        <f t="shared" si="93"/>
        <v/>
      </c>
      <c r="AP131" s="13" t="str">
        <f t="shared" si="93"/>
        <v/>
      </c>
      <c r="AQ131" s="13" t="str">
        <f t="shared" si="93"/>
        <v/>
      </c>
      <c r="AR131" s="13" t="str">
        <f t="shared" si="93"/>
        <v/>
      </c>
    </row>
    <row r="132" spans="1:44" x14ac:dyDescent="0.25">
      <c r="A132" s="3"/>
      <c r="B132" s="3"/>
      <c r="C132" s="3"/>
      <c r="D132" s="3"/>
      <c r="E132" s="3"/>
      <c r="F132" s="31"/>
      <c r="G132" s="1"/>
      <c r="H132" s="2"/>
      <c r="I132" s="22"/>
      <c r="K132" s="27"/>
      <c r="L132" s="7"/>
      <c r="M132" s="26"/>
      <c r="N132" s="26"/>
      <c r="P132" s="6"/>
      <c r="R132" s="6">
        <f t="shared" si="91"/>
        <v>0</v>
      </c>
      <c r="T132" s="6"/>
      <c r="U132" s="6"/>
      <c r="X132" s="13" t="str">
        <f t="shared" si="92"/>
        <v/>
      </c>
      <c r="Y132" s="13" t="str">
        <f t="shared" si="92"/>
        <v/>
      </c>
      <c r="Z132" s="13" t="str">
        <f t="shared" si="92"/>
        <v/>
      </c>
      <c r="AA132" s="13" t="str">
        <f t="shared" si="92"/>
        <v/>
      </c>
      <c r="AB132" s="13" t="str">
        <f t="shared" si="92"/>
        <v/>
      </c>
      <c r="AC132" s="13" t="str">
        <f t="shared" si="92"/>
        <v/>
      </c>
      <c r="AD132" s="13" t="str">
        <f t="shared" si="92"/>
        <v/>
      </c>
      <c r="AE132" s="13" t="str">
        <f t="shared" si="92"/>
        <v/>
      </c>
      <c r="AF132" s="13" t="str">
        <f t="shared" si="92"/>
        <v/>
      </c>
      <c r="AG132" s="13" t="str">
        <f t="shared" si="92"/>
        <v/>
      </c>
      <c r="AH132" s="14"/>
      <c r="AI132" s="13" t="str">
        <f t="shared" si="93"/>
        <v/>
      </c>
      <c r="AJ132" s="13" t="str">
        <f t="shared" si="93"/>
        <v/>
      </c>
      <c r="AK132" s="13" t="str">
        <f t="shared" si="93"/>
        <v/>
      </c>
      <c r="AL132" s="13" t="str">
        <f t="shared" si="93"/>
        <v/>
      </c>
      <c r="AM132" s="13" t="str">
        <f t="shared" si="93"/>
        <v/>
      </c>
      <c r="AN132" s="13" t="str">
        <f t="shared" si="93"/>
        <v/>
      </c>
      <c r="AO132" s="13" t="str">
        <f t="shared" si="93"/>
        <v/>
      </c>
      <c r="AP132" s="13" t="str">
        <f t="shared" si="93"/>
        <v/>
      </c>
      <c r="AQ132" s="13" t="str">
        <f t="shared" si="93"/>
        <v/>
      </c>
      <c r="AR132" s="13" t="str">
        <f t="shared" si="93"/>
        <v/>
      </c>
    </row>
    <row r="133" spans="1:44" x14ac:dyDescent="0.25">
      <c r="A133" s="3"/>
      <c r="B133" s="3"/>
      <c r="C133" s="3"/>
      <c r="D133" s="3"/>
      <c r="E133" s="3"/>
      <c r="F133" s="31"/>
      <c r="G133" s="1"/>
      <c r="H133" s="2"/>
      <c r="I133" s="22"/>
      <c r="K133" s="27"/>
      <c r="L133" s="7"/>
      <c r="M133" s="26"/>
      <c r="N133" s="26"/>
      <c r="P133" s="6"/>
      <c r="R133" s="6">
        <f t="shared" si="91"/>
        <v>0</v>
      </c>
      <c r="T133" s="6"/>
      <c r="U133" s="6"/>
      <c r="X133" s="13" t="str">
        <f t="shared" si="92"/>
        <v/>
      </c>
      <c r="Y133" s="13" t="str">
        <f t="shared" si="92"/>
        <v/>
      </c>
      <c r="Z133" s="13" t="str">
        <f t="shared" si="92"/>
        <v/>
      </c>
      <c r="AA133" s="13" t="str">
        <f t="shared" si="92"/>
        <v/>
      </c>
      <c r="AB133" s="13" t="str">
        <f t="shared" si="92"/>
        <v/>
      </c>
      <c r="AC133" s="13" t="str">
        <f t="shared" ref="Y133:AG140" si="94">IF(AND($K133=AC$2,$L133=AC$1),$F133,"")</f>
        <v/>
      </c>
      <c r="AD133" s="13" t="str">
        <f t="shared" si="94"/>
        <v/>
      </c>
      <c r="AE133" s="13" t="str">
        <f t="shared" si="94"/>
        <v/>
      </c>
      <c r="AF133" s="13" t="str">
        <f t="shared" si="94"/>
        <v/>
      </c>
      <c r="AG133" s="13" t="str">
        <f t="shared" si="94"/>
        <v/>
      </c>
      <c r="AH133" s="14"/>
      <c r="AI133" s="13" t="str">
        <f t="shared" si="93"/>
        <v/>
      </c>
      <c r="AJ133" s="13" t="str">
        <f t="shared" si="93"/>
        <v/>
      </c>
      <c r="AK133" s="13" t="str">
        <f t="shared" si="93"/>
        <v/>
      </c>
      <c r="AL133" s="13" t="str">
        <f t="shared" si="93"/>
        <v/>
      </c>
      <c r="AM133" s="13" t="str">
        <f t="shared" si="93"/>
        <v/>
      </c>
      <c r="AN133" s="13" t="str">
        <f t="shared" ref="AJ133:AR140" si="95">IF(AND($K133=AN$2,$L133=AN$1),$F133,"")</f>
        <v/>
      </c>
      <c r="AO133" s="13" t="str">
        <f t="shared" si="95"/>
        <v/>
      </c>
      <c r="AP133" s="13" t="str">
        <f t="shared" si="95"/>
        <v/>
      </c>
      <c r="AQ133" s="13" t="str">
        <f t="shared" si="95"/>
        <v/>
      </c>
      <c r="AR133" s="13" t="str">
        <f t="shared" si="95"/>
        <v/>
      </c>
    </row>
    <row r="134" spans="1:44" x14ac:dyDescent="0.25">
      <c r="A134" s="3"/>
      <c r="B134" s="3"/>
      <c r="C134" s="3"/>
      <c r="D134" s="3"/>
      <c r="E134" s="3"/>
      <c r="F134" s="31"/>
      <c r="G134" s="1"/>
      <c r="H134" s="2"/>
      <c r="I134" s="22"/>
      <c r="K134" s="27"/>
      <c r="L134" s="7"/>
      <c r="M134" s="26"/>
      <c r="N134" s="26"/>
      <c r="P134" s="6"/>
      <c r="R134" s="6">
        <f t="shared" si="91"/>
        <v>0</v>
      </c>
      <c r="T134" s="6"/>
      <c r="U134" s="6"/>
      <c r="X134" s="13" t="str">
        <f t="shared" ref="X134:X140" si="96">IF(AND($K134=X$2,$L134=X$1),$F134,"")</f>
        <v/>
      </c>
      <c r="Y134" s="13" t="str">
        <f t="shared" si="94"/>
        <v/>
      </c>
      <c r="Z134" s="13" t="str">
        <f t="shared" si="94"/>
        <v/>
      </c>
      <c r="AA134" s="13" t="str">
        <f t="shared" si="94"/>
        <v/>
      </c>
      <c r="AB134" s="13" t="str">
        <f t="shared" si="94"/>
        <v/>
      </c>
      <c r="AC134" s="13" t="str">
        <f t="shared" si="94"/>
        <v/>
      </c>
      <c r="AD134" s="13" t="str">
        <f t="shared" si="94"/>
        <v/>
      </c>
      <c r="AE134" s="13" t="str">
        <f t="shared" si="94"/>
        <v/>
      </c>
      <c r="AF134" s="13" t="str">
        <f t="shared" si="94"/>
        <v/>
      </c>
      <c r="AG134" s="13" t="str">
        <f t="shared" si="94"/>
        <v/>
      </c>
      <c r="AH134" s="14"/>
      <c r="AI134" s="13" t="str">
        <f t="shared" ref="AI134:AI140" si="97">IF(AND($K134=AI$2,$L134=AI$1),$F134,"")</f>
        <v/>
      </c>
      <c r="AJ134" s="13" t="str">
        <f t="shared" si="95"/>
        <v/>
      </c>
      <c r="AK134" s="13" t="str">
        <f t="shared" si="95"/>
        <v/>
      </c>
      <c r="AL134" s="13" t="str">
        <f t="shared" si="95"/>
        <v/>
      </c>
      <c r="AM134" s="13" t="str">
        <f t="shared" si="95"/>
        <v/>
      </c>
      <c r="AN134" s="13" t="str">
        <f t="shared" si="95"/>
        <v/>
      </c>
      <c r="AO134" s="13" t="str">
        <f t="shared" si="95"/>
        <v/>
      </c>
      <c r="AP134" s="13" t="str">
        <f t="shared" si="95"/>
        <v/>
      </c>
      <c r="AQ134" s="13" t="str">
        <f t="shared" si="95"/>
        <v/>
      </c>
      <c r="AR134" s="13" t="str">
        <f t="shared" si="95"/>
        <v/>
      </c>
    </row>
    <row r="135" spans="1:44" x14ac:dyDescent="0.25">
      <c r="A135" s="3"/>
      <c r="B135" s="3"/>
      <c r="C135" s="3"/>
      <c r="D135" s="3"/>
      <c r="E135" s="3"/>
      <c r="F135" s="31"/>
      <c r="G135" s="1"/>
      <c r="H135" s="2"/>
      <c r="I135" s="22"/>
      <c r="K135" s="27"/>
      <c r="L135" s="7"/>
      <c r="M135" s="26"/>
      <c r="N135" s="26"/>
      <c r="P135" s="6"/>
      <c r="R135" s="6">
        <f t="shared" si="91"/>
        <v>0</v>
      </c>
      <c r="T135" s="6"/>
      <c r="U135" s="6"/>
      <c r="X135" s="13" t="str">
        <f t="shared" si="96"/>
        <v/>
      </c>
      <c r="Y135" s="13" t="str">
        <f t="shared" si="94"/>
        <v/>
      </c>
      <c r="Z135" s="13" t="str">
        <f t="shared" si="94"/>
        <v/>
      </c>
      <c r="AA135" s="13" t="str">
        <f t="shared" si="94"/>
        <v/>
      </c>
      <c r="AB135" s="13" t="str">
        <f t="shared" si="94"/>
        <v/>
      </c>
      <c r="AC135" s="13" t="str">
        <f t="shared" si="94"/>
        <v/>
      </c>
      <c r="AD135" s="13" t="str">
        <f t="shared" si="94"/>
        <v/>
      </c>
      <c r="AE135" s="13" t="str">
        <f t="shared" si="94"/>
        <v/>
      </c>
      <c r="AF135" s="13" t="str">
        <f t="shared" si="94"/>
        <v/>
      </c>
      <c r="AG135" s="13" t="str">
        <f t="shared" si="94"/>
        <v/>
      </c>
      <c r="AH135" s="14"/>
      <c r="AI135" s="13" t="str">
        <f t="shared" si="97"/>
        <v/>
      </c>
      <c r="AJ135" s="13" t="str">
        <f t="shared" si="95"/>
        <v/>
      </c>
      <c r="AK135" s="13" t="str">
        <f t="shared" si="95"/>
        <v/>
      </c>
      <c r="AL135" s="13" t="str">
        <f t="shared" si="95"/>
        <v/>
      </c>
      <c r="AM135" s="13" t="str">
        <f t="shared" si="95"/>
        <v/>
      </c>
      <c r="AN135" s="13" t="str">
        <f t="shared" si="95"/>
        <v/>
      </c>
      <c r="AO135" s="13" t="str">
        <f t="shared" si="95"/>
        <v/>
      </c>
      <c r="AP135" s="13" t="str">
        <f t="shared" si="95"/>
        <v/>
      </c>
      <c r="AQ135" s="13" t="str">
        <f t="shared" si="95"/>
        <v/>
      </c>
      <c r="AR135" s="13" t="str">
        <f t="shared" si="95"/>
        <v/>
      </c>
    </row>
    <row r="136" spans="1:44" x14ac:dyDescent="0.25">
      <c r="A136" s="30"/>
      <c r="B136" s="30"/>
      <c r="C136" s="3"/>
      <c r="D136" s="30"/>
      <c r="E136" s="30"/>
      <c r="F136" s="32"/>
      <c r="G136" s="42"/>
      <c r="I136" s="25"/>
      <c r="K136" s="5"/>
      <c r="L136" s="7"/>
      <c r="X136" s="13" t="str">
        <f t="shared" si="96"/>
        <v/>
      </c>
      <c r="Y136" s="13" t="str">
        <f t="shared" si="94"/>
        <v/>
      </c>
      <c r="Z136" s="13" t="str">
        <f t="shared" si="94"/>
        <v/>
      </c>
      <c r="AA136" s="13" t="str">
        <f t="shared" si="94"/>
        <v/>
      </c>
      <c r="AB136" s="13" t="str">
        <f t="shared" si="94"/>
        <v/>
      </c>
      <c r="AC136" s="13" t="str">
        <f t="shared" si="94"/>
        <v/>
      </c>
      <c r="AD136" s="13" t="str">
        <f t="shared" si="94"/>
        <v/>
      </c>
      <c r="AE136" s="13" t="str">
        <f t="shared" si="94"/>
        <v/>
      </c>
      <c r="AF136" s="13" t="str">
        <f t="shared" si="94"/>
        <v/>
      </c>
      <c r="AG136" s="13" t="str">
        <f t="shared" si="94"/>
        <v/>
      </c>
      <c r="AH136" s="14"/>
      <c r="AI136" s="13" t="str">
        <f t="shared" si="97"/>
        <v/>
      </c>
      <c r="AJ136" s="13" t="str">
        <f t="shared" si="95"/>
        <v/>
      </c>
      <c r="AK136" s="13" t="str">
        <f t="shared" si="95"/>
        <v/>
      </c>
      <c r="AL136" s="13" t="str">
        <f t="shared" si="95"/>
        <v/>
      </c>
      <c r="AM136" s="13" t="str">
        <f t="shared" si="95"/>
        <v/>
      </c>
      <c r="AN136" s="13" t="str">
        <f t="shared" si="95"/>
        <v/>
      </c>
      <c r="AO136" s="13" t="str">
        <f t="shared" si="95"/>
        <v/>
      </c>
      <c r="AP136" s="13" t="str">
        <f t="shared" si="95"/>
        <v/>
      </c>
      <c r="AQ136" s="13" t="str">
        <f t="shared" si="95"/>
        <v/>
      </c>
      <c r="AR136" s="13" t="str">
        <f t="shared" si="95"/>
        <v/>
      </c>
    </row>
    <row r="137" spans="1:44" x14ac:dyDescent="0.25">
      <c r="A137" s="36"/>
      <c r="B137" s="36"/>
      <c r="C137" s="4"/>
      <c r="D137" s="36"/>
      <c r="E137" s="36"/>
      <c r="F137" s="37"/>
      <c r="G137" s="43"/>
      <c r="X137" s="13" t="str">
        <f t="shared" si="96"/>
        <v/>
      </c>
      <c r="Y137" s="13" t="str">
        <f t="shared" si="94"/>
        <v/>
      </c>
      <c r="Z137" s="13" t="str">
        <f t="shared" si="94"/>
        <v/>
      </c>
      <c r="AA137" s="13" t="str">
        <f t="shared" si="94"/>
        <v/>
      </c>
      <c r="AB137" s="13" t="str">
        <f t="shared" si="94"/>
        <v/>
      </c>
      <c r="AC137" s="13" t="str">
        <f t="shared" si="94"/>
        <v/>
      </c>
      <c r="AD137" s="13" t="str">
        <f t="shared" si="94"/>
        <v/>
      </c>
      <c r="AE137" s="13" t="str">
        <f t="shared" si="94"/>
        <v/>
      </c>
      <c r="AF137" s="13" t="str">
        <f t="shared" si="94"/>
        <v/>
      </c>
      <c r="AG137" s="13" t="str">
        <f t="shared" si="94"/>
        <v/>
      </c>
      <c r="AH137" s="14"/>
      <c r="AI137" s="13" t="str">
        <f t="shared" si="97"/>
        <v/>
      </c>
      <c r="AJ137" s="13" t="str">
        <f t="shared" si="95"/>
        <v/>
      </c>
      <c r="AK137" s="13" t="str">
        <f t="shared" si="95"/>
        <v/>
      </c>
      <c r="AL137" s="13" t="str">
        <f t="shared" si="95"/>
        <v/>
      </c>
      <c r="AM137" s="13" t="str">
        <f t="shared" si="95"/>
        <v/>
      </c>
      <c r="AN137" s="13" t="str">
        <f t="shared" si="95"/>
        <v/>
      </c>
      <c r="AO137" s="13" t="str">
        <f t="shared" si="95"/>
        <v/>
      </c>
      <c r="AP137" s="13" t="str">
        <f t="shared" si="95"/>
        <v/>
      </c>
      <c r="AQ137" s="13" t="str">
        <f t="shared" si="95"/>
        <v/>
      </c>
      <c r="AR137" s="13" t="str">
        <f t="shared" si="95"/>
        <v/>
      </c>
    </row>
    <row r="138" spans="1:44" x14ac:dyDescent="0.25">
      <c r="A138" s="38"/>
      <c r="B138" s="38"/>
      <c r="C138" s="4"/>
      <c r="D138" s="38"/>
      <c r="E138" s="38"/>
      <c r="F138" s="37"/>
      <c r="G138" s="42"/>
      <c r="X138" s="13" t="str">
        <f t="shared" si="96"/>
        <v/>
      </c>
      <c r="Y138" s="13" t="str">
        <f t="shared" si="94"/>
        <v/>
      </c>
      <c r="Z138" s="13" t="str">
        <f t="shared" si="94"/>
        <v/>
      </c>
      <c r="AA138" s="13" t="str">
        <f t="shared" si="94"/>
        <v/>
      </c>
      <c r="AB138" s="13" t="str">
        <f t="shared" si="94"/>
        <v/>
      </c>
      <c r="AC138" s="13" t="str">
        <f t="shared" si="94"/>
        <v/>
      </c>
      <c r="AD138" s="13" t="str">
        <f t="shared" si="94"/>
        <v/>
      </c>
      <c r="AE138" s="13" t="str">
        <f t="shared" si="94"/>
        <v/>
      </c>
      <c r="AF138" s="13" t="str">
        <f t="shared" si="94"/>
        <v/>
      </c>
      <c r="AG138" s="13" t="str">
        <f t="shared" si="94"/>
        <v/>
      </c>
      <c r="AH138" s="14"/>
      <c r="AI138" s="13" t="str">
        <f t="shared" si="97"/>
        <v/>
      </c>
      <c r="AJ138" s="13" t="str">
        <f t="shared" si="95"/>
        <v/>
      </c>
      <c r="AK138" s="13" t="str">
        <f t="shared" si="95"/>
        <v/>
      </c>
      <c r="AL138" s="13" t="str">
        <f t="shared" si="95"/>
        <v/>
      </c>
      <c r="AM138" s="13" t="str">
        <f t="shared" si="95"/>
        <v/>
      </c>
      <c r="AN138" s="13" t="str">
        <f t="shared" si="95"/>
        <v/>
      </c>
      <c r="AO138" s="13" t="str">
        <f t="shared" si="95"/>
        <v/>
      </c>
      <c r="AP138" s="13" t="str">
        <f t="shared" si="95"/>
        <v/>
      </c>
      <c r="AQ138" s="13" t="str">
        <f t="shared" si="95"/>
        <v/>
      </c>
      <c r="AR138" s="13" t="str">
        <f t="shared" si="95"/>
        <v/>
      </c>
    </row>
    <row r="139" spans="1:44" x14ac:dyDescent="0.25">
      <c r="X139" s="13" t="str">
        <f t="shared" si="96"/>
        <v/>
      </c>
      <c r="Y139" s="13" t="str">
        <f t="shared" si="94"/>
        <v/>
      </c>
      <c r="Z139" s="13" t="str">
        <f t="shared" si="94"/>
        <v/>
      </c>
      <c r="AA139" s="13" t="str">
        <f t="shared" si="94"/>
        <v/>
      </c>
      <c r="AB139" s="13" t="str">
        <f t="shared" si="94"/>
        <v/>
      </c>
      <c r="AC139" s="13" t="str">
        <f t="shared" si="94"/>
        <v/>
      </c>
      <c r="AD139" s="13" t="str">
        <f t="shared" si="94"/>
        <v/>
      </c>
      <c r="AE139" s="13" t="str">
        <f t="shared" si="94"/>
        <v/>
      </c>
      <c r="AF139" s="13" t="str">
        <f t="shared" si="94"/>
        <v/>
      </c>
      <c r="AG139" s="13" t="str">
        <f t="shared" si="94"/>
        <v/>
      </c>
      <c r="AH139" s="14"/>
      <c r="AI139" s="13" t="str">
        <f t="shared" si="97"/>
        <v/>
      </c>
      <c r="AJ139" s="13" t="str">
        <f t="shared" si="95"/>
        <v/>
      </c>
      <c r="AK139" s="13" t="str">
        <f t="shared" si="95"/>
        <v/>
      </c>
      <c r="AL139" s="13" t="str">
        <f t="shared" si="95"/>
        <v/>
      </c>
      <c r="AM139" s="13" t="str">
        <f t="shared" si="95"/>
        <v/>
      </c>
      <c r="AN139" s="13" t="str">
        <f t="shared" si="95"/>
        <v/>
      </c>
      <c r="AO139" s="13" t="str">
        <f t="shared" si="95"/>
        <v/>
      </c>
      <c r="AP139" s="13" t="str">
        <f t="shared" si="95"/>
        <v/>
      </c>
      <c r="AQ139" s="13" t="str">
        <f t="shared" si="95"/>
        <v/>
      </c>
      <c r="AR139" s="13" t="str">
        <f t="shared" si="95"/>
        <v/>
      </c>
    </row>
    <row r="140" spans="1:44" x14ac:dyDescent="0.25">
      <c r="X140" s="13" t="str">
        <f t="shared" si="96"/>
        <v/>
      </c>
      <c r="Y140" s="13" t="str">
        <f t="shared" si="94"/>
        <v/>
      </c>
      <c r="Z140" s="13" t="str">
        <f t="shared" si="94"/>
        <v/>
      </c>
      <c r="AA140" s="13" t="str">
        <f t="shared" si="94"/>
        <v/>
      </c>
      <c r="AB140" s="13" t="str">
        <f t="shared" si="94"/>
        <v/>
      </c>
      <c r="AC140" s="13" t="str">
        <f t="shared" si="94"/>
        <v/>
      </c>
      <c r="AD140" s="13" t="str">
        <f t="shared" si="94"/>
        <v/>
      </c>
      <c r="AE140" s="13" t="str">
        <f t="shared" si="94"/>
        <v/>
      </c>
      <c r="AF140" s="13" t="str">
        <f t="shared" si="94"/>
        <v/>
      </c>
      <c r="AG140" s="13" t="str">
        <f t="shared" si="94"/>
        <v/>
      </c>
      <c r="AH140" s="14"/>
      <c r="AI140" s="13" t="str">
        <f t="shared" si="97"/>
        <v/>
      </c>
      <c r="AJ140" s="13" t="str">
        <f t="shared" si="95"/>
        <v/>
      </c>
      <c r="AK140" s="13" t="str">
        <f t="shared" si="95"/>
        <v/>
      </c>
      <c r="AL140" s="13" t="str">
        <f t="shared" si="95"/>
        <v/>
      </c>
      <c r="AM140" s="13" t="str">
        <f t="shared" si="95"/>
        <v/>
      </c>
      <c r="AN140" s="13" t="str">
        <f t="shared" si="95"/>
        <v/>
      </c>
      <c r="AO140" s="13" t="str">
        <f t="shared" si="95"/>
        <v/>
      </c>
      <c r="AP140" s="13" t="str">
        <f t="shared" si="95"/>
        <v/>
      </c>
      <c r="AQ140" s="13" t="str">
        <f t="shared" si="95"/>
        <v/>
      </c>
      <c r="AR140" s="13" t="str">
        <f t="shared" si="95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Shmelev</dc:creator>
  <cp:lastModifiedBy>Shmelev</cp:lastModifiedBy>
  <dcterms:created xsi:type="dcterms:W3CDTF">2025-09-17T07:51:13Z</dcterms:created>
  <dcterms:modified xsi:type="dcterms:W3CDTF">2025-12-17T14:03:15Z</dcterms:modified>
</cp:coreProperties>
</file>